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drawings/charts/chart4.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4fd50f4c44646ef" /></Relationships>
</file>

<file path=xl/workbook.xml><?xml version="1.0" encoding="utf-8"?>
<x:workbook xmlns:x="http://schemas.openxmlformats.org/spreadsheetml/2006/main">
  <x:sheets>
    <x:sheet xmlns:r="http://schemas.openxmlformats.org/officeDocument/2006/relationships" name="Dashboard" sheetId="1" r:id="R07b9b2704fe04115"/>
    <x:sheet xmlns:r="http://schemas.openxmlformats.org/officeDocument/2006/relationships" name="Daily Analysis" sheetId="2" r:id="R08e41e326d134f9f"/>
    <x:sheet xmlns:r="http://schemas.openxmlformats.org/officeDocument/2006/relationships" name="Sources &amp; Notes" sheetId="3" r:id="Rafb55e13a7584855"/>
  </x:sheets>
</x:workbook>
</file>

<file path=xl/sharedStrings.xml><?xml version="1.0" encoding="utf-8"?>
<x:sst xmlns:x="http://schemas.openxmlformats.org/spreadsheetml/2006/main"/>
</file>

<file path=xl/styles.xml><?xml version="1.0" encoding="utf-8"?>
<x:styleSheet xmlns:x="http://schemas.openxmlformats.org/spreadsheetml/2006/main">
  <x:numFmts count="12">
    <x:numFmt numFmtId="200" formatCode="dd-mmm"/>
    <x:numFmt numFmtId="201" formatCode="0.0"/>
    <x:numFmt numFmtId="202" formatCode="0.00"/>
    <x:numFmt numFmtId="203" formatCode="0"/>
    <x:numFmt numFmtId="204" formatCode="0.0%"/>
    <x:numFmt numFmtId="205" formatCode="0.0 &quot;Wh/day&quot;"/>
    <x:numFmt numFmtId="206" formatCode="0.00 &quot;h/day&quot;"/>
    <x:numFmt numFmtId="207" formatCode="0.00 &quot;kWh&quot;"/>
    <x:numFmt numFmtId="208" formatCode="+0.00;-0.00 &quot;kWh&quot;"/>
    <x:numFmt numFmtId="209" formatCode="0.00 &quot;mm&quot;"/>
    <x:numFmt numFmtId="210" formatCode="0.0 &quot;%&quot;"/>
    <x:numFmt numFmtId="211" formatCode="+0.00 &quot;kWh&quot;;-0.00 &quot;kWh&quot;"/>
  </x:numFmts>
  <x:fonts count="7">
    <x:font>
      <x:sz val="11"/>
      <x:name val="Carlito"/>
    </x:font>
    <x:font>
      <x:b/>
      <x:sz val="11"/>
      <x:color rgb="FFFFFFFF"/>
      <x:name val="Carlito"/>
    </x:font>
    <x:font>
      <x:b/>
      <x:sz val="18"/>
      <x:color rgb="FFFFFFFF"/>
      <x:name val="Carlito"/>
    </x:font>
    <x:font>
      <x:i/>
      <x:sz val="11"/>
      <x:color rgb="FF1F2937"/>
      <x:name val="Carlito"/>
    </x:font>
    <x:font>
      <x:b/>
      <x:sz val="11"/>
      <x:color rgb="FF1F2937"/>
      <x:name val="Carlito"/>
    </x:font>
    <x:font>
      <x:b/>
      <x:sz val="16"/>
      <x:color rgb="FF17365D"/>
      <x:name val="Carlito"/>
    </x:font>
    <x:font>
      <x:sz val="11"/>
      <x:color rgb="FF1F2937"/>
      <x:name val="Carlito"/>
    </x:font>
  </x:fonts>
  <x:fills count="8">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F5F7FA"/>
      </x:patternFill>
    </x:fill>
    <x:fill>
      <x:patternFill patternType="solid">
        <x:fgColor rgb="FFFFFFFF"/>
      </x:patternFill>
    </x:fill>
    <x:fill>
      <x:patternFill patternType="solid">
        <x:fgColor rgb="FFF8FAFC"/>
      </x:patternFill>
    </x:fill>
    <x:fill>
      <x:patternFill patternType="solid">
        <x:fgColor rgb="FFFFFDF5"/>
      </x:patternFill>
    </x:fill>
  </x:fills>
  <x:borders count="14">
    <x:border/>
    <x:border/>
    <x:border/>
    <x:border/>
    <x:border/>
    <x:border/>
    <x:border/>
    <x:border/>
    <x:border/>
    <x:border/>
    <x:border/>
    <x:border/>
    <x:border/>
    <x:border/>
  </x:borders>
  <x:cellStyleXfs count="1">
    <x:xf numFmtId="0" fontId="0" fillId="0" borderId="0"/>
  </x:cellStyleXfs>
  <x:cellXfs count="24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3" fontId="0" fillId="0" borderId="0" xfId="0" applyNumberFormat="1" applyFont="1" applyFill="1" applyBorder="1"/>
    <x:xf numFmtId="203" fontId="0" fillId="0" borderId="1" xfId="0" applyNumberFormat="1" applyFont="1" applyFill="1" applyBorder="1"/>
    <x:xf numFmtId="204" fontId="0" fillId="0" borderId="0" xfId="0" applyNumberFormat="1" applyFont="1" applyFill="1" applyBorder="1"/>
    <x:xf numFmtId="204" fontId="0" fillId="0" borderId="1"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2" fillId="2" borderId="1" xfId="0" applyNumberFormat="1" applyFont="1" applyFill="1" applyBorder="1"/>
    <x:xf numFmtId="0" fontId="2" fillId="2" borderId="1" xfId="0" applyNumberFormat="1" applyFont="1" applyFill="1" applyBorder="1" applyAlignment="1">
      <x:alignment horizontal="center"/>
    </x:xf>
    <x:xf numFmtId="0" fontId="2" fillId="2" borderId="1" xfId="0" applyNumberFormat="1" applyFont="1" applyFill="1" applyBorder="1" applyAlignment="1">
      <x:alignment horizontal="center" vertical="center"/>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horizontal="center"/>
    </x:xf>
    <x:xf numFmtId="0" fontId="0" fillId="3" borderId="1" xfId="0" applyNumberFormat="1" applyFont="1" applyFill="1" applyBorder="1"/>
    <x:xf numFmtId="0" fontId="3" fillId="3" borderId="1" xfId="0" applyNumberFormat="1" applyFont="1" applyFill="1" applyBorder="1"/>
    <x:xf numFmtId="0" fontId="3" fillId="3" borderId="1" xfId="0" applyNumberFormat="1" applyFont="1" applyFill="1" applyBorder="1" applyAlignment="1">
      <x:alignment horizontal="center"/>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horizontal="center"/>
    </x:xf>
    <x:xf numFmtId="0" fontId="0" fillId="4" borderId="1" xfId="0" applyNumberFormat="1" applyFont="1" applyFill="1" applyBorder="1"/>
    <x:xf numFmtId="0" fontId="4" fillId="4" borderId="1" xfId="0" applyNumberFormat="1" applyFont="1" applyFill="1" applyBorder="1"/>
    <x:xf numFmtId="0" fontId="4" fillId="4" borderId="1" xfId="0" applyNumberFormat="1" applyFont="1" applyFill="1" applyBorder="1" applyAlignment="1">
      <x:alignment horizontal="center"/>
    </x:xf>
    <x:xf numFmtId="203" fontId="0" fillId="5" borderId="0" xfId="0" applyNumberFormat="1" applyFont="1" applyFill="1" applyBorder="1"/>
    <x:xf numFmtId="0" fontId="0" fillId="5" borderId="0" xfId="0" applyNumberFormat="1" applyFont="1" applyFill="1" applyBorder="1"/>
    <x:xf numFmtId="203" fontId="5" fillId="5" borderId="0" xfId="0" applyNumberFormat="1" applyFont="1" applyFill="1" applyBorder="1"/>
    <x:xf numFmtId="0" fontId="5" fillId="5" borderId="0" xfId="0" applyNumberFormat="1" applyFont="1" applyFill="1" applyBorder="1"/>
    <x:xf numFmtId="203" fontId="5" fillId="5" borderId="2" xfId="0" applyNumberFormat="1" applyFont="1" applyFill="1" applyBorder="1"/>
    <x:xf numFmtId="0" fontId="5" fillId="5" borderId="3" xfId="0" applyNumberFormat="1" applyFont="1" applyFill="1" applyBorder="1"/>
    <x:xf numFmtId="0" fontId="5" fillId="5" borderId="4" xfId="0" applyNumberFormat="1" applyFont="1" applyFill="1" applyBorder="1"/>
    <x:xf numFmtId="0" fontId="5" fillId="5" borderId="5" xfId="0" applyNumberFormat="1" applyFont="1" applyFill="1" applyBorder="1"/>
    <x:xf numFmtId="0" fontId="5" fillId="5" borderId="6" xfId="0" applyNumberFormat="1" applyFont="1" applyFill="1" applyBorder="1"/>
    <x:xf numFmtId="0" fontId="5" fillId="5" borderId="7" xfId="0" applyNumberFormat="1" applyFont="1" applyFill="1" applyBorder="1"/>
    <x:xf numFmtId="203" fontId="5" fillId="5" borderId="2" xfId="0" applyNumberFormat="1" applyFont="1" applyFill="1" applyBorder="1" applyAlignment="1">
      <x:alignment horizontal="center"/>
    </x:xf>
    <x:xf numFmtId="0" fontId="5" fillId="5" borderId="3" xfId="0" applyNumberFormat="1" applyFont="1" applyFill="1" applyBorder="1" applyAlignment="1">
      <x:alignment horizontal="center"/>
    </x:xf>
    <x:xf numFmtId="0" fontId="5" fillId="5" borderId="4" xfId="0" applyNumberFormat="1" applyFont="1" applyFill="1" applyBorder="1" applyAlignment="1">
      <x:alignment horizontal="center"/>
    </x:xf>
    <x:xf numFmtId="0" fontId="5" fillId="5" borderId="5" xfId="0" applyNumberFormat="1" applyFont="1" applyFill="1" applyBorder="1" applyAlignment="1">
      <x:alignment horizontal="center"/>
    </x:xf>
    <x:xf numFmtId="0" fontId="5" fillId="5" borderId="6" xfId="0" applyNumberFormat="1" applyFont="1" applyFill="1" applyBorder="1" applyAlignment="1">
      <x:alignment horizontal="center"/>
    </x:xf>
    <x:xf numFmtId="0" fontId="5" fillId="5" borderId="7" xfId="0" applyNumberFormat="1" applyFont="1" applyFill="1" applyBorder="1" applyAlignment="1">
      <x:alignment horizontal="center"/>
    </x:xf>
    <x:xf numFmtId="203" fontId="5" fillId="5" borderId="2" xfId="0" applyNumberFormat="1" applyFont="1" applyFill="1" applyBorder="1" applyAlignment="1">
      <x:alignment horizontal="center" vertical="center"/>
    </x:xf>
    <x:xf numFmtId="0" fontId="5" fillId="5" borderId="3" xfId="0" applyNumberFormat="1" applyFont="1" applyFill="1" applyBorder="1" applyAlignment="1">
      <x:alignment horizontal="center" vertical="center"/>
    </x:xf>
    <x:xf numFmtId="0" fontId="5" fillId="5" borderId="4" xfId="0" applyNumberFormat="1" applyFont="1" applyFill="1" applyBorder="1" applyAlignment="1">
      <x:alignment horizontal="center" vertical="center"/>
    </x:xf>
    <x:xf numFmtId="0" fontId="5" fillId="5" borderId="5" xfId="0" applyNumberFormat="1" applyFont="1" applyFill="1" applyBorder="1" applyAlignment="1">
      <x:alignment horizontal="center" vertical="center"/>
    </x:xf>
    <x:xf numFmtId="0" fontId="5" fillId="5" borderId="6" xfId="0" applyNumberFormat="1" applyFont="1" applyFill="1" applyBorder="1" applyAlignment="1">
      <x:alignment horizontal="center" vertical="center"/>
    </x:xf>
    <x:xf numFmtId="0" fontId="5" fillId="5" borderId="7" xfId="0" applyNumberFormat="1" applyFont="1" applyFill="1" applyBorder="1" applyAlignment="1">
      <x:alignment horizontal="center" vertical="center"/>
    </x:xf>
    <x:xf numFmtId="203" fontId="0" fillId="5" borderId="1" xfId="0" applyNumberFormat="1" applyFont="1" applyFill="1" applyBorder="1"/>
    <x:xf numFmtId="0" fontId="0" fillId="5" borderId="1" xfId="0" applyNumberFormat="1" applyFont="1" applyFill="1" applyBorder="1"/>
    <x:xf numFmtId="203" fontId="5" fillId="5" borderId="1" xfId="0" applyNumberFormat="1" applyFont="1" applyFill="1" applyBorder="1"/>
    <x:xf numFmtId="0" fontId="5" fillId="5" borderId="1" xfId="0" applyNumberFormat="1" applyFont="1" applyFill="1" applyBorder="1"/>
    <x:xf numFmtId="203" fontId="5" fillId="5" borderId="8" xfId="0" applyNumberFormat="1" applyFont="1" applyFill="1" applyBorder="1"/>
    <x:xf numFmtId="0" fontId="5" fillId="5" borderId="9" xfId="0" applyNumberFormat="1" applyFont="1" applyFill="1" applyBorder="1"/>
    <x:xf numFmtId="0" fontId="5" fillId="5" borderId="10" xfId="0" applyNumberFormat="1" applyFont="1" applyFill="1" applyBorder="1"/>
    <x:xf numFmtId="0" fontId="5" fillId="5" borderId="11" xfId="0" applyNumberFormat="1" applyFont="1" applyFill="1" applyBorder="1"/>
    <x:xf numFmtId="0" fontId="5" fillId="5" borderId="12" xfId="0" applyNumberFormat="1" applyFont="1" applyFill="1" applyBorder="1"/>
    <x:xf numFmtId="0" fontId="5" fillId="5" borderId="13" xfId="0" applyNumberFormat="1" applyFont="1" applyFill="1" applyBorder="1"/>
    <x:xf numFmtId="203" fontId="5" fillId="5" borderId="8" xfId="0" applyNumberFormat="1" applyFont="1" applyFill="1" applyBorder="1" applyAlignment="1">
      <x:alignment horizontal="center"/>
    </x:xf>
    <x:xf numFmtId="0" fontId="5" fillId="5" borderId="9" xfId="0" applyNumberFormat="1" applyFont="1" applyFill="1" applyBorder="1" applyAlignment="1">
      <x:alignment horizontal="center"/>
    </x:xf>
    <x:xf numFmtId="0" fontId="5" fillId="5" borderId="10" xfId="0" applyNumberFormat="1" applyFont="1" applyFill="1" applyBorder="1" applyAlignment="1">
      <x:alignment horizontal="center"/>
    </x:xf>
    <x:xf numFmtId="0" fontId="5" fillId="5" borderId="11" xfId="0" applyNumberFormat="1" applyFont="1" applyFill="1" applyBorder="1" applyAlignment="1">
      <x:alignment horizontal="center"/>
    </x:xf>
    <x:xf numFmtId="0" fontId="5" fillId="5" borderId="12" xfId="0" applyNumberFormat="1" applyFont="1" applyFill="1" applyBorder="1" applyAlignment="1">
      <x:alignment horizontal="center"/>
    </x:xf>
    <x:xf numFmtId="0" fontId="5" fillId="5" borderId="13" xfId="0" applyNumberFormat="1" applyFont="1" applyFill="1" applyBorder="1" applyAlignment="1">
      <x:alignment horizontal="center"/>
    </x:xf>
    <x:xf numFmtId="203" fontId="5" fillId="5" borderId="8" xfId="0" applyNumberFormat="1" applyFont="1" applyFill="1" applyBorder="1" applyAlignment="1">
      <x:alignment horizontal="center" vertical="center"/>
    </x:xf>
    <x:xf numFmtId="0" fontId="5" fillId="5" borderId="9" xfId="0" applyNumberFormat="1" applyFont="1" applyFill="1" applyBorder="1" applyAlignment="1">
      <x:alignment horizontal="center" vertical="center"/>
    </x:xf>
    <x:xf numFmtId="0" fontId="5" fillId="5" borderId="10" xfId="0" applyNumberFormat="1" applyFont="1" applyFill="1" applyBorder="1" applyAlignment="1">
      <x:alignment horizontal="center" vertical="center"/>
    </x:xf>
    <x:xf numFmtId="0" fontId="5" fillId="5" borderId="11" xfId="0" applyNumberFormat="1" applyFont="1" applyFill="1" applyBorder="1" applyAlignment="1">
      <x:alignment horizontal="center" vertical="center"/>
    </x:xf>
    <x:xf numFmtId="0" fontId="5" fillId="5" borderId="12" xfId="0" applyNumberFormat="1" applyFont="1" applyFill="1" applyBorder="1" applyAlignment="1">
      <x:alignment horizontal="center" vertical="center"/>
    </x:xf>
    <x:xf numFmtId="0" fontId="5" fillId="5" borderId="13" xfId="0" applyNumberFormat="1" applyFont="1" applyFill="1" applyBorder="1" applyAlignment="1">
      <x:alignment horizontal="center" vertical="center"/>
    </x:xf>
    <x:xf numFmtId="205" fontId="0" fillId="0" borderId="0" xfId="0" applyNumberFormat="1" applyFont="1" applyFill="1" applyBorder="1"/>
    <x:xf numFmtId="205" fontId="0" fillId="0" borderId="1" xfId="0" applyNumberFormat="1" applyFont="1" applyFill="1" applyBorder="1"/>
    <x:xf numFmtId="205" fontId="0" fillId="5" borderId="0" xfId="0" applyNumberFormat="1" applyFont="1" applyFill="1" applyBorder="1"/>
    <x:xf numFmtId="205" fontId="5" fillId="5" borderId="0" xfId="0" applyNumberFormat="1" applyFont="1" applyFill="1" applyBorder="1"/>
    <x:xf numFmtId="205" fontId="5" fillId="5" borderId="2" xfId="0" applyNumberFormat="1" applyFont="1" applyFill="1" applyBorder="1"/>
    <x:xf numFmtId="205" fontId="5" fillId="5" borderId="2" xfId="0" applyNumberFormat="1" applyFont="1" applyFill="1" applyBorder="1" applyAlignment="1">
      <x:alignment horizontal="center"/>
    </x:xf>
    <x:xf numFmtId="205" fontId="5" fillId="5" borderId="2" xfId="0" applyNumberFormat="1" applyFont="1" applyFill="1" applyBorder="1" applyAlignment="1">
      <x:alignment horizontal="center" vertical="center"/>
    </x:xf>
    <x:xf numFmtId="205" fontId="0" fillId="5" borderId="1" xfId="0" applyNumberFormat="1" applyFont="1" applyFill="1" applyBorder="1"/>
    <x:xf numFmtId="205" fontId="5" fillId="5" borderId="1" xfId="0" applyNumberFormat="1" applyFont="1" applyFill="1" applyBorder="1"/>
    <x:xf numFmtId="205" fontId="5" fillId="5" borderId="8" xfId="0" applyNumberFormat="1" applyFont="1" applyFill="1" applyBorder="1"/>
    <x:xf numFmtId="205" fontId="5" fillId="5" borderId="8" xfId="0" applyNumberFormat="1" applyFont="1" applyFill="1" applyBorder="1" applyAlignment="1">
      <x:alignment horizontal="center"/>
    </x:xf>
    <x:xf numFmtId="205" fontId="5" fillId="5" borderId="8" xfId="0" applyNumberFormat="1" applyFont="1" applyFill="1" applyBorder="1" applyAlignment="1">
      <x:alignment horizontal="center" vertical="center"/>
    </x:xf>
    <x:xf numFmtId="206" fontId="0" fillId="0" borderId="0" xfId="0" applyNumberFormat="1" applyFont="1" applyFill="1" applyBorder="1"/>
    <x:xf numFmtId="206" fontId="0" fillId="0" borderId="1" xfId="0" applyNumberFormat="1" applyFont="1" applyFill="1" applyBorder="1"/>
    <x:xf numFmtId="206" fontId="0" fillId="5" borderId="0" xfId="0" applyNumberFormat="1" applyFont="1" applyFill="1" applyBorder="1"/>
    <x:xf numFmtId="206" fontId="5" fillId="5" borderId="0" xfId="0" applyNumberFormat="1" applyFont="1" applyFill="1" applyBorder="1"/>
    <x:xf numFmtId="206" fontId="5" fillId="5" borderId="2" xfId="0" applyNumberFormat="1" applyFont="1" applyFill="1" applyBorder="1"/>
    <x:xf numFmtId="206" fontId="5" fillId="5" borderId="2" xfId="0" applyNumberFormat="1" applyFont="1" applyFill="1" applyBorder="1" applyAlignment="1">
      <x:alignment horizontal="center"/>
    </x:xf>
    <x:xf numFmtId="206" fontId="5" fillId="5" borderId="2" xfId="0" applyNumberFormat="1" applyFont="1" applyFill="1" applyBorder="1" applyAlignment="1">
      <x:alignment horizontal="center" vertical="center"/>
    </x:xf>
    <x:xf numFmtId="206" fontId="0" fillId="5" borderId="1" xfId="0" applyNumberFormat="1" applyFont="1" applyFill="1" applyBorder="1"/>
    <x:xf numFmtId="206" fontId="5" fillId="5" borderId="1" xfId="0" applyNumberFormat="1" applyFont="1" applyFill="1" applyBorder="1"/>
    <x:xf numFmtId="206" fontId="5" fillId="5" borderId="8" xfId="0" applyNumberFormat="1" applyFont="1" applyFill="1" applyBorder="1"/>
    <x:xf numFmtId="206" fontId="5" fillId="5" borderId="8" xfId="0" applyNumberFormat="1" applyFont="1" applyFill="1" applyBorder="1" applyAlignment="1">
      <x:alignment horizontal="center"/>
    </x:xf>
    <x:xf numFmtId="206" fontId="5" fillId="5" borderId="8" xfId="0" applyNumberFormat="1" applyFont="1" applyFill="1" applyBorder="1" applyAlignment="1">
      <x:alignment horizontal="center" vertical="center"/>
    </x:xf>
    <x:xf numFmtId="207" fontId="0" fillId="0" borderId="0" xfId="0" applyNumberFormat="1" applyFont="1" applyFill="1" applyBorder="1"/>
    <x:xf numFmtId="207" fontId="0" fillId="0" borderId="1" xfId="0" applyNumberFormat="1" applyFont="1" applyFill="1" applyBorder="1"/>
    <x:xf numFmtId="207" fontId="0" fillId="5" borderId="0" xfId="0" applyNumberFormat="1" applyFont="1" applyFill="1" applyBorder="1"/>
    <x:xf numFmtId="207" fontId="5" fillId="5" borderId="0" xfId="0" applyNumberFormat="1" applyFont="1" applyFill="1" applyBorder="1"/>
    <x:xf numFmtId="207" fontId="5" fillId="5" borderId="2" xfId="0" applyNumberFormat="1" applyFont="1" applyFill="1" applyBorder="1"/>
    <x:xf numFmtId="207" fontId="5" fillId="5" borderId="2" xfId="0" applyNumberFormat="1" applyFont="1" applyFill="1" applyBorder="1" applyAlignment="1">
      <x:alignment horizontal="center"/>
    </x:xf>
    <x:xf numFmtId="207" fontId="5" fillId="5" borderId="2" xfId="0" applyNumberFormat="1" applyFont="1" applyFill="1" applyBorder="1" applyAlignment="1">
      <x:alignment horizontal="center" vertical="center"/>
    </x:xf>
    <x:xf numFmtId="207" fontId="0" fillId="5" borderId="1" xfId="0" applyNumberFormat="1" applyFont="1" applyFill="1" applyBorder="1"/>
    <x:xf numFmtId="207" fontId="5" fillId="5" borderId="1" xfId="0" applyNumberFormat="1" applyFont="1" applyFill="1" applyBorder="1"/>
    <x:xf numFmtId="207" fontId="5" fillId="5" borderId="8" xfId="0" applyNumberFormat="1" applyFont="1" applyFill="1" applyBorder="1"/>
    <x:xf numFmtId="207" fontId="5" fillId="5" borderId="8" xfId="0" applyNumberFormat="1" applyFont="1" applyFill="1" applyBorder="1" applyAlignment="1">
      <x:alignment horizontal="center"/>
    </x:xf>
    <x:xf numFmtId="207" fontId="5" fillId="5" borderId="8" xfId="0" applyNumberFormat="1" applyFont="1" applyFill="1" applyBorder="1" applyAlignment="1">
      <x:alignment horizontal="center" vertical="center"/>
    </x:xf>
    <x:xf numFmtId="208" fontId="0" fillId="0" borderId="0" xfId="0" applyNumberFormat="1" applyFont="1" applyFill="1" applyBorder="1"/>
    <x:xf numFmtId="208" fontId="0" fillId="0" borderId="1" xfId="0" applyNumberFormat="1" applyFont="1" applyFill="1" applyBorder="1"/>
    <x:xf numFmtId="208" fontId="0" fillId="5" borderId="0" xfId="0" applyNumberFormat="1" applyFont="1" applyFill="1" applyBorder="1"/>
    <x:xf numFmtId="208" fontId="5" fillId="5" borderId="0" xfId="0" applyNumberFormat="1" applyFont="1" applyFill="1" applyBorder="1"/>
    <x:xf numFmtId="208" fontId="5" fillId="5" borderId="2" xfId="0" applyNumberFormat="1" applyFont="1" applyFill="1" applyBorder="1"/>
    <x:xf numFmtId="208" fontId="5" fillId="5" borderId="2" xfId="0" applyNumberFormat="1" applyFont="1" applyFill="1" applyBorder="1" applyAlignment="1">
      <x:alignment horizontal="center"/>
    </x:xf>
    <x:xf numFmtId="208" fontId="5" fillId="5" borderId="2" xfId="0" applyNumberFormat="1" applyFont="1" applyFill="1" applyBorder="1" applyAlignment="1">
      <x:alignment horizontal="center" vertical="center"/>
    </x:xf>
    <x:xf numFmtId="208" fontId="0" fillId="5" borderId="1" xfId="0" applyNumberFormat="1" applyFont="1" applyFill="1" applyBorder="1"/>
    <x:xf numFmtId="208" fontId="5" fillId="5" borderId="1" xfId="0" applyNumberFormat="1" applyFont="1" applyFill="1" applyBorder="1"/>
    <x:xf numFmtId="208" fontId="5" fillId="5" borderId="8" xfId="0" applyNumberFormat="1" applyFont="1" applyFill="1" applyBorder="1"/>
    <x:xf numFmtId="208" fontId="5" fillId="5" borderId="8" xfId="0" applyNumberFormat="1" applyFont="1" applyFill="1" applyBorder="1" applyAlignment="1">
      <x:alignment horizontal="center"/>
    </x:xf>
    <x:xf numFmtId="208" fontId="5" fillId="5" borderId="8" xfId="0" applyNumberFormat="1" applyFont="1" applyFill="1" applyBorder="1" applyAlignment="1">
      <x:alignment horizontal="center" vertical="center"/>
    </x:xf>
    <x:xf numFmtId="209" fontId="0" fillId="0" borderId="0" xfId="0" applyNumberFormat="1" applyFont="1" applyFill="1" applyBorder="1"/>
    <x:xf numFmtId="209" fontId="0" fillId="0" borderId="1" xfId="0" applyNumberFormat="1" applyFont="1" applyFill="1" applyBorder="1"/>
    <x:xf numFmtId="209" fontId="0" fillId="5" borderId="0" xfId="0" applyNumberFormat="1" applyFont="1" applyFill="1" applyBorder="1"/>
    <x:xf numFmtId="209" fontId="5" fillId="5" borderId="0" xfId="0" applyNumberFormat="1" applyFont="1" applyFill="1" applyBorder="1"/>
    <x:xf numFmtId="209" fontId="5" fillId="5" borderId="2" xfId="0" applyNumberFormat="1" applyFont="1" applyFill="1" applyBorder="1"/>
    <x:xf numFmtId="209" fontId="5" fillId="5" borderId="2" xfId="0" applyNumberFormat="1" applyFont="1" applyFill="1" applyBorder="1" applyAlignment="1">
      <x:alignment horizontal="center"/>
    </x:xf>
    <x:xf numFmtId="209" fontId="5" fillId="5" borderId="2" xfId="0" applyNumberFormat="1" applyFont="1" applyFill="1" applyBorder="1" applyAlignment="1">
      <x:alignment horizontal="center" vertical="center"/>
    </x:xf>
    <x:xf numFmtId="209" fontId="0" fillId="5" borderId="1" xfId="0" applyNumberFormat="1" applyFont="1" applyFill="1" applyBorder="1"/>
    <x:xf numFmtId="209" fontId="5" fillId="5" borderId="1" xfId="0" applyNumberFormat="1" applyFont="1" applyFill="1" applyBorder="1"/>
    <x:xf numFmtId="209" fontId="5" fillId="5" borderId="8" xfId="0" applyNumberFormat="1" applyFont="1" applyFill="1" applyBorder="1"/>
    <x:xf numFmtId="209" fontId="5" fillId="5" borderId="8" xfId="0" applyNumberFormat="1" applyFont="1" applyFill="1" applyBorder="1" applyAlignment="1">
      <x:alignment horizontal="center"/>
    </x:xf>
    <x:xf numFmtId="209" fontId="5" fillId="5" borderId="8" xfId="0" applyNumberFormat="1" applyFont="1" applyFill="1" applyBorder="1" applyAlignment="1">
      <x:alignment horizontal="center" vertical="center"/>
    </x:xf>
    <x:xf numFmtId="210" fontId="0" fillId="0" borderId="0" xfId="0" applyNumberFormat="1" applyFont="1" applyFill="1" applyBorder="1"/>
    <x:xf numFmtId="210" fontId="0" fillId="0" borderId="1" xfId="0" applyNumberFormat="1" applyFont="1" applyFill="1" applyBorder="1"/>
    <x:xf numFmtId="210" fontId="0" fillId="5" borderId="0" xfId="0" applyNumberFormat="1" applyFont="1" applyFill="1" applyBorder="1"/>
    <x:xf numFmtId="210" fontId="5" fillId="5" borderId="0" xfId="0" applyNumberFormat="1" applyFont="1" applyFill="1" applyBorder="1"/>
    <x:xf numFmtId="210" fontId="5" fillId="5" borderId="2" xfId="0" applyNumberFormat="1" applyFont="1" applyFill="1" applyBorder="1"/>
    <x:xf numFmtId="210" fontId="5" fillId="5" borderId="2" xfId="0" applyNumberFormat="1" applyFont="1" applyFill="1" applyBorder="1" applyAlignment="1">
      <x:alignment horizontal="center"/>
    </x:xf>
    <x:xf numFmtId="210" fontId="5" fillId="5" borderId="2" xfId="0" applyNumberFormat="1" applyFont="1" applyFill="1" applyBorder="1" applyAlignment="1">
      <x:alignment horizontal="center" vertical="center"/>
    </x:xf>
    <x:xf numFmtId="210" fontId="0" fillId="5" borderId="1" xfId="0" applyNumberFormat="1" applyFont="1" applyFill="1" applyBorder="1"/>
    <x:xf numFmtId="210" fontId="5" fillId="5" borderId="1" xfId="0" applyNumberFormat="1" applyFont="1" applyFill="1" applyBorder="1"/>
    <x:xf numFmtId="210" fontId="5" fillId="5" borderId="8" xfId="0" applyNumberFormat="1" applyFont="1" applyFill="1" applyBorder="1"/>
    <x:xf numFmtId="210" fontId="5" fillId="5" borderId="8" xfId="0" applyNumberFormat="1" applyFont="1" applyFill="1" applyBorder="1" applyAlignment="1">
      <x:alignment horizontal="center"/>
    </x:xf>
    <x:xf numFmtId="210" fontId="5" fillId="5" borderId="8" xfId="0" applyNumberFormat="1" applyFont="1" applyFill="1" applyBorder="1" applyAlignment="1">
      <x:alignment horizontal="center" vertical="center"/>
    </x:xf>
    <x:xf numFmtId="0" fontId="1" fillId="2" borderId="0" xfId="0" applyNumberFormat="1" applyFont="1" applyFill="1" applyBorder="1" applyAlignment="1">
      <x:alignment horizontal="left"/>
    </x:xf>
    <x:xf numFmtId="0" fontId="1" fillId="2" borderId="1" xfId="0" applyNumberFormat="1" applyFont="1" applyFill="1" applyBorder="1" applyAlignment="1">
      <x:alignment horizontal="left"/>
    </x:xf>
    <x:xf numFmtId="0" fontId="0" fillId="6" borderId="0" xfId="0" applyNumberFormat="1" applyFont="1" applyFill="1" applyBorder="1"/>
    <x:xf numFmtId="0" fontId="6" fillId="6" borderId="0" xfId="0" applyNumberFormat="1" applyFont="1" applyFill="1" applyBorder="1"/>
    <x:xf numFmtId="0" fontId="6" fillId="6" borderId="0" xfId="0" applyNumberFormat="1" applyFont="1" applyFill="1" applyBorder="1" applyAlignment="1">
      <x:alignment wrapText="1"/>
    </x:xf>
    <x:xf numFmtId="0" fontId="6" fillId="6" borderId="0" xfId="0" applyNumberFormat="1" applyFont="1" applyFill="1" applyBorder="1" applyAlignment="1">
      <x:alignment vertical="top" wrapText="1"/>
    </x:xf>
    <x:xf numFmtId="0" fontId="0" fillId="6" borderId="1" xfId="0" applyNumberFormat="1" applyFont="1" applyFill="1" applyBorder="1"/>
    <x:xf numFmtId="0" fontId="6" fillId="6" borderId="1" xfId="0" applyNumberFormat="1" applyFont="1" applyFill="1" applyBorder="1"/>
    <x:xf numFmtId="0" fontId="6" fillId="6" borderId="1" xfId="0" applyNumberFormat="1" applyFont="1" applyFill="1" applyBorder="1" applyAlignment="1">
      <x:alignment wrapText="1"/>
    </x:xf>
    <x:xf numFmtId="0" fontId="6" fillId="6" borderId="1"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0" xfId="0" applyNumberFormat="1" applyFont="1" applyFill="1" applyBorder="1" applyAlignment="1">
      <x:alignment wrapText="1"/>
    </x:xf>
    <x:xf numFmtId="0" fontId="6" fillId="7" borderId="0" xfId="0" applyNumberFormat="1" applyFont="1" applyFill="1" applyBorder="1" applyAlignment="1">
      <x:alignment vertical="top" wrapText="1"/>
    </x:xf>
    <x:xf numFmtId="0" fontId="0" fillId="7" borderId="1" xfId="0" applyNumberFormat="1" applyFont="1" applyFill="1" applyBorder="1"/>
    <x:xf numFmtId="0" fontId="6" fillId="7" borderId="1" xfId="0" applyNumberFormat="1" applyFont="1" applyFill="1" applyBorder="1"/>
    <x:xf numFmtId="0" fontId="6" fillId="7" borderId="1" xfId="0" applyNumberFormat="1" applyFont="1" applyFill="1" applyBorder="1" applyAlignment="1">
      <x:alignment wrapText="1"/>
    </x:xf>
    <x:xf numFmtId="0" fontId="6" fillId="7" borderId="1" xfId="0" applyNumberFormat="1" applyFont="1" applyFill="1" applyBorder="1" applyAlignment="1">
      <x:alignment vertical="top" wrapText="1"/>
    </x:xf>
    <x:xf numFmtId="0" fontId="2" fillId="2" borderId="0" xfId="0" applyNumberFormat="1" applyFont="1" applyFill="1" applyBorder="1" applyAlignment="1">
      <x:alignment horizontal="center" vertical="center" wrapText="1"/>
    </x:xf>
    <x:xf numFmtId="0" fontId="3" fillId="3" borderId="0" xfId="0" applyNumberFormat="1" applyFont="1" applyFill="1" applyBorder="1" applyAlignment="1">
      <x:alignment horizontal="center" wrapText="1"/>
    </x:xf>
    <x:xf numFmtId="0" fontId="0" fillId="0" borderId="0" xfId="0" applyNumberFormat="1" applyFont="1" applyFill="1" applyBorder="1" applyAlignment="1">
      <x:alignment wrapText="1"/>
    </x:xf>
    <x:xf numFmtId="0" fontId="4" fillId="4" borderId="0" xfId="0" applyNumberFormat="1" applyFont="1" applyFill="1" applyBorder="1" applyAlignment="1">
      <x:alignment horizontal="center" wrapText="1"/>
    </x:xf>
    <x:xf numFmtId="203" fontId="5" fillId="5" borderId="2" xfId="0" applyNumberFormat="1" applyFont="1" applyFill="1" applyBorder="1" applyAlignment="1">
      <x:alignment horizontal="center" vertical="center" wrapText="1"/>
    </x:xf>
    <x:xf numFmtId="0" fontId="5" fillId="5" borderId="3" xfId="0" applyNumberFormat="1" applyFont="1" applyFill="1" applyBorder="1" applyAlignment="1">
      <x:alignment horizontal="center" vertical="center" wrapText="1"/>
    </x:xf>
    <x:xf numFmtId="0" fontId="5" fillId="5" borderId="4" xfId="0" applyNumberFormat="1" applyFont="1" applyFill="1" applyBorder="1" applyAlignment="1">
      <x:alignment horizontal="center" vertical="center" wrapText="1"/>
    </x:xf>
    <x:xf numFmtId="205" fontId="5" fillId="5" borderId="2" xfId="0" applyNumberFormat="1" applyFont="1" applyFill="1" applyBorder="1" applyAlignment="1">
      <x:alignment horizontal="center" vertical="center" wrapText="1"/>
    </x:xf>
    <x:xf numFmtId="206" fontId="5" fillId="5" borderId="2" xfId="0" applyNumberFormat="1" applyFont="1" applyFill="1" applyBorder="1" applyAlignment="1">
      <x:alignment horizontal="center" vertical="center" wrapText="1"/>
    </x:xf>
    <x:xf numFmtId="0" fontId="5" fillId="5" borderId="5" xfId="0" applyNumberFormat="1" applyFont="1" applyFill="1" applyBorder="1" applyAlignment="1">
      <x:alignment horizontal="center" vertical="center" wrapText="1"/>
    </x:xf>
    <x:xf numFmtId="0" fontId="5" fillId="5" borderId="6" xfId="0" applyNumberFormat="1" applyFont="1" applyFill="1" applyBorder="1" applyAlignment="1">
      <x:alignment horizontal="center" vertical="center" wrapText="1"/>
    </x:xf>
    <x:xf numFmtId="0" fontId="5" fillId="5" borderId="7" xfId="0" applyNumberFormat="1" applyFont="1" applyFill="1" applyBorder="1" applyAlignment="1">
      <x:alignment horizontal="center" vertical="center" wrapText="1"/>
    </x:xf>
    <x:xf numFmtId="207" fontId="5" fillId="5" borderId="2" xfId="0" applyNumberFormat="1" applyFont="1" applyFill="1" applyBorder="1" applyAlignment="1">
      <x:alignment horizontal="center" vertical="center" wrapText="1"/>
    </x:xf>
    <x:xf numFmtId="208" fontId="5" fillId="5" borderId="2" xfId="0" applyNumberFormat="1" applyFont="1" applyFill="1" applyBorder="1" applyAlignment="1">
      <x:alignment horizontal="center" vertical="center" wrapText="1"/>
    </x:xf>
    <x:xf numFmtId="209" fontId="5" fillId="5" borderId="2" xfId="0" applyNumberFormat="1" applyFont="1" applyFill="1" applyBorder="1" applyAlignment="1">
      <x:alignment horizontal="center" vertical="center" wrapText="1"/>
    </x:xf>
    <x:xf numFmtId="210" fontId="5" fillId="5" borderId="2" xfId="0" applyNumberFormat="1" applyFont="1" applyFill="1" applyBorder="1" applyAlignment="1">
      <x:alignment horizontal="center" vertical="center" wrapText="1"/>
    </x:xf>
    <x:xf numFmtId="0" fontId="1" fillId="2" borderId="0" xfId="0" applyNumberFormat="1" applyFont="1" applyFill="1" applyBorder="1" applyAlignment="1">
      <x:alignment horizontal="left" wrapText="1"/>
    </x:xf>
    <x:xf numFmtId="200"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0" fontId="2" fillId="2" borderId="1" xfId="0" applyNumberFormat="1" applyFont="1" applyFill="1" applyBorder="1" applyAlignment="1">
      <x:alignment horizontal="center" vertical="center" wrapText="1"/>
    </x:xf>
    <x:xf numFmtId="0" fontId="3" fillId="3" borderId="1" xfId="0" applyNumberFormat="1" applyFont="1" applyFill="1" applyBorder="1" applyAlignment="1">
      <x:alignment horizontal="center" wrapText="1"/>
    </x:xf>
    <x:xf numFmtId="0" fontId="0" fillId="0" borderId="1" xfId="0" applyNumberFormat="1" applyFont="1" applyFill="1" applyBorder="1" applyAlignment="1">
      <x:alignment wrapText="1"/>
    </x:xf>
    <x:xf numFmtId="0" fontId="4" fillId="4" borderId="1" xfId="0" applyNumberFormat="1" applyFont="1" applyFill="1" applyBorder="1" applyAlignment="1">
      <x:alignment horizontal="center" wrapText="1"/>
    </x:xf>
    <x:xf numFmtId="203" fontId="5" fillId="5" borderId="8" xfId="0" applyNumberFormat="1" applyFont="1" applyFill="1" applyBorder="1" applyAlignment="1">
      <x:alignment horizontal="center" vertical="center" wrapText="1"/>
    </x:xf>
    <x:xf numFmtId="0" fontId="5" fillId="5" borderId="9" xfId="0" applyNumberFormat="1" applyFont="1" applyFill="1" applyBorder="1" applyAlignment="1">
      <x:alignment horizontal="center" vertical="center" wrapText="1"/>
    </x:xf>
    <x:xf numFmtId="0" fontId="5" fillId="5" borderId="10" xfId="0" applyNumberFormat="1" applyFont="1" applyFill="1" applyBorder="1" applyAlignment="1">
      <x:alignment horizontal="center" vertical="center" wrapText="1"/>
    </x:xf>
    <x:xf numFmtId="205" fontId="5" fillId="5" borderId="8" xfId="0" applyNumberFormat="1" applyFont="1" applyFill="1" applyBorder="1" applyAlignment="1">
      <x:alignment horizontal="center" vertical="center" wrapText="1"/>
    </x:xf>
    <x:xf numFmtId="206" fontId="5" fillId="5" borderId="8" xfId="0" applyNumberFormat="1" applyFont="1" applyFill="1" applyBorder="1" applyAlignment="1">
      <x:alignment horizontal="center" vertical="center" wrapText="1"/>
    </x:xf>
    <x:xf numFmtId="0" fontId="5" fillId="5" borderId="11" xfId="0" applyNumberFormat="1" applyFont="1" applyFill="1" applyBorder="1" applyAlignment="1">
      <x:alignment horizontal="center" vertical="center" wrapText="1"/>
    </x:xf>
    <x:xf numFmtId="0" fontId="5" fillId="5" borderId="12" xfId="0" applyNumberFormat="1" applyFont="1" applyFill="1" applyBorder="1" applyAlignment="1">
      <x:alignment horizontal="center" vertical="center" wrapText="1"/>
    </x:xf>
    <x:xf numFmtId="0" fontId="5" fillId="5" borderId="13" xfId="0" applyNumberFormat="1" applyFont="1" applyFill="1" applyBorder="1" applyAlignment="1">
      <x:alignment horizontal="center" vertical="center" wrapText="1"/>
    </x:xf>
    <x:xf numFmtId="207" fontId="5" fillId="5" borderId="8" xfId="0" applyNumberFormat="1" applyFont="1" applyFill="1" applyBorder="1" applyAlignment="1">
      <x:alignment horizontal="center" vertical="center" wrapText="1"/>
    </x:xf>
    <x:xf numFmtId="208" fontId="5" fillId="5" borderId="8" xfId="0" applyNumberFormat="1" applyFont="1" applyFill="1" applyBorder="1" applyAlignment="1">
      <x:alignment horizontal="center" vertical="center" wrapText="1"/>
    </x:xf>
    <x:xf numFmtId="209" fontId="5" fillId="5" borderId="8" xfId="0" applyNumberFormat="1" applyFont="1" applyFill="1" applyBorder="1" applyAlignment="1">
      <x:alignment horizontal="center" vertical="center" wrapText="1"/>
    </x:xf>
    <x:xf numFmtId="210" fontId="5" fillId="5" borderId="8" xfId="0" applyNumberFormat="1" applyFont="1" applyFill="1" applyBorder="1" applyAlignment="1">
      <x:alignment horizontal="center" vertical="center" wrapText="1"/>
    </x:xf>
    <x:xf numFmtId="0" fontId="1" fillId="2" borderId="1" xfId="0" applyNumberFormat="1" applyFont="1" applyFill="1" applyBorder="1" applyAlignment="1">
      <x:alignment horizontal="left" wrapText="1"/>
    </x:xf>
    <x:xf numFmtId="200"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0" fillId="7" borderId="0" xfId="0" applyNumberFormat="1" applyFont="1" applyFill="1" applyBorder="1" applyAlignment="1">
      <x:alignment wrapText="1"/>
    </x:xf>
    <x:xf numFmtId="0" fontId="0" fillId="7" borderId="0" xfId="0" applyNumberFormat="1" applyFont="1" applyFill="1" applyBorder="1" applyAlignment="1">
      <x:alignment vertical="top" wrapText="1"/>
    </x:xf>
    <x:xf numFmtId="0" fontId="0" fillId="7" borderId="1" xfId="0" applyNumberFormat="1" applyFont="1" applyFill="1" applyBorder="1" applyAlignment="1">
      <x:alignment wrapText="1"/>
    </x:xf>
    <x:xf numFmtId="0" fontId="0" fillId="7" borderId="1" xfId="0" applyNumberFormat="1" applyFont="1" applyFill="1" applyBorder="1" applyAlignment="1">
      <x:alignment vertical="top" wrapText="1"/>
    </x:xf>
    <x:xf numFmtId="0" fontId="0" fillId="0" borderId="0" xfId="0" applyNumberFormat="1" applyFont="1" applyFill="1" applyBorder="1"/>
    <x:xf numFmtId="203" fontId="5" fillId="5" borderId="0" xfId="0" applyNumberFormat="1" applyFont="1" applyFill="1" applyBorder="1" applyAlignment="1">
      <x:alignment horizontal="center"/>
    </x:xf>
    <x:xf numFmtId="0" fontId="5" fillId="5" borderId="0" xfId="0" applyNumberFormat="1" applyFont="1" applyFill="1" applyBorder="1" applyAlignment="1">
      <x:alignment horizontal="center"/>
    </x:xf>
    <x:xf numFmtId="203" fontId="5" fillId="5" borderId="0" xfId="0" applyNumberFormat="1" applyFont="1" applyFill="1" applyBorder="1" applyAlignment="1">
      <x:alignment horizontal="center" vertical="center"/>
    </x:xf>
    <x:xf numFmtId="0" fontId="5" fillId="5" borderId="0" xfId="0" applyNumberFormat="1" applyFont="1" applyFill="1" applyBorder="1" applyAlignment="1">
      <x:alignment horizontal="center" vertical="center"/>
    </x:xf>
    <x:xf numFmtId="205" fontId="5" fillId="5" borderId="0" xfId="0" applyNumberFormat="1" applyFont="1" applyFill="1" applyBorder="1" applyAlignment="1">
      <x:alignment horizontal="center"/>
    </x:xf>
    <x:xf numFmtId="205" fontId="5" fillId="5" borderId="0" xfId="0" applyNumberFormat="1" applyFont="1" applyFill="1" applyBorder="1" applyAlignment="1">
      <x:alignment horizontal="center" vertical="center"/>
    </x:xf>
    <x:xf numFmtId="206" fontId="5" fillId="5" borderId="0" xfId="0" applyNumberFormat="1" applyFont="1" applyFill="1" applyBorder="1" applyAlignment="1">
      <x:alignment horizontal="center"/>
    </x:xf>
    <x:xf numFmtId="206" fontId="5" fillId="5" borderId="0" xfId="0" applyNumberFormat="1" applyFont="1" applyFill="1" applyBorder="1" applyAlignment="1">
      <x:alignment horizontal="center" vertical="center"/>
    </x:xf>
    <x:xf numFmtId="207" fontId="5" fillId="5" borderId="0" xfId="0" applyNumberFormat="1" applyFont="1" applyFill="1" applyBorder="1" applyAlignment="1">
      <x:alignment horizontal="center"/>
    </x:xf>
    <x:xf numFmtId="207" fontId="5" fillId="5" borderId="0" xfId="0" applyNumberFormat="1" applyFont="1" applyFill="1" applyBorder="1" applyAlignment="1">
      <x:alignment horizontal="center" vertical="center"/>
    </x:xf>
    <x:xf numFmtId="208" fontId="5" fillId="5" borderId="0" xfId="0" applyNumberFormat="1" applyFont="1" applyFill="1" applyBorder="1" applyAlignment="1">
      <x:alignment horizontal="center"/>
    </x:xf>
    <x:xf numFmtId="208" fontId="5" fillId="5" borderId="0" xfId="0" applyNumberFormat="1" applyFont="1" applyFill="1" applyBorder="1" applyAlignment="1">
      <x:alignment horizontal="center" vertical="center"/>
    </x:xf>
    <x:xf numFmtId="209" fontId="5" fillId="5" borderId="0" xfId="0" applyNumberFormat="1" applyFont="1" applyFill="1" applyBorder="1" applyAlignment="1">
      <x:alignment horizontal="center"/>
    </x:xf>
    <x:xf numFmtId="209" fontId="5" fillId="5" borderId="0" xfId="0" applyNumberFormat="1" applyFont="1" applyFill="1" applyBorder="1" applyAlignment="1">
      <x:alignment horizontal="center" vertical="center"/>
    </x:xf>
    <x:xf numFmtId="210" fontId="5" fillId="5" borderId="0" xfId="0" applyNumberFormat="1" applyFont="1" applyFill="1" applyBorder="1" applyAlignment="1">
      <x:alignment horizontal="center"/>
    </x:xf>
    <x:xf numFmtId="210" fontId="5" fillId="5" borderId="0" xfId="0" applyNumberFormat="1" applyFont="1" applyFill="1" applyBorder="1" applyAlignment="1">
      <x:alignment horizontal="center" vertical="center"/>
    </x:xf>
    <x:xf numFmtId="203" fontId="5" fillId="5" borderId="0" xfId="0" applyNumberFormat="1" applyFont="1" applyFill="1" applyBorder="1" applyAlignment="1">
      <x:alignment horizontal="center" vertical="center" wrapText="1"/>
    </x:xf>
    <x:xf numFmtId="0" fontId="5" fillId="5" borderId="0" xfId="0" applyNumberFormat="1" applyFont="1" applyFill="1" applyBorder="1" applyAlignment="1">
      <x:alignment horizontal="center" vertical="center" wrapText="1"/>
    </x:xf>
    <x:xf numFmtId="205" fontId="5" fillId="5" borderId="0" xfId="0" applyNumberFormat="1" applyFont="1" applyFill="1" applyBorder="1" applyAlignment="1">
      <x:alignment horizontal="center" vertical="center" wrapText="1"/>
    </x:xf>
    <x:xf numFmtId="206" fontId="5" fillId="5" borderId="0" xfId="0" applyNumberFormat="1" applyFont="1" applyFill="1" applyBorder="1" applyAlignment="1">
      <x:alignment horizontal="center" vertical="center" wrapText="1"/>
    </x:xf>
    <x:xf numFmtId="207" fontId="5" fillId="5" borderId="0" xfId="0" applyNumberFormat="1" applyFont="1" applyFill="1" applyBorder="1" applyAlignment="1">
      <x:alignment horizontal="center" vertical="center" wrapText="1"/>
    </x:xf>
    <x:xf numFmtId="208" fontId="5" fillId="5" borderId="0" xfId="0" applyNumberFormat="1" applyFont="1" applyFill="1" applyBorder="1" applyAlignment="1">
      <x:alignment horizontal="center" vertical="center" wrapText="1"/>
    </x:xf>
    <x:xf numFmtId="209" fontId="5" fillId="5" borderId="0" xfId="0" applyNumberFormat="1" applyFont="1" applyFill="1" applyBorder="1" applyAlignment="1">
      <x:alignment horizontal="center" vertical="center" wrapText="1"/>
    </x:xf>
    <x:xf numFmtId="210" fontId="5" fillId="5" borderId="0" xfId="0" applyNumberFormat="1" applyFont="1" applyFill="1" applyBorder="1" applyAlignment="1">
      <x:alignment horizontal="center" vertical="center" wrapText="1"/>
    </x:xf>
    <x:xf numFmtId="211" fontId="5" fillId="5" borderId="2" xfId="0" applyNumberFormat="1" applyFont="1" applyFill="1" applyBorder="1" applyAlignment="1">
      <x:alignment horizontal="center" vertical="center" wrapText="1"/>
    </x:xf>
  </x:cellXfs>
  <x:cellStyles count="1">
    <x:cellStyle name="Normal" xfId="0"/>
  </x:cellStyles>
  <x:dxfs count="13">
    <x:dxf>
      <x:fill>
        <x:patternFill>
          <x:bgColor rgb="FFFFF2CC"/>
        </x:patternFill>
      </x:fill>
    </x:dxf>
    <x:dxf>
      <x:fill>
        <x:patternFill>
          <x:bgColor rgb="FFFFF2CC"/>
        </x:patternFill>
      </x:fill>
    </x:dxf>
    <x:dxf>
      <x:fill>
        <x:patternFill>
          <x:bgColor rgb="FFFFF2CC"/>
        </x:patternFill>
      </x:fill>
    </x:dxf>
    <x:dxf>
      <x:fill>
        <x:patternFill>
          <x:bgColor rgb="FFFFF2CC"/>
        </x:patternFill>
      </x:fill>
    </x:dxf>
    <x:dxf>
      <x:fill>
        <x:patternFill>
          <x:bgColor rgb="FFFFF2CC"/>
        </x:patternFill>
      </x:fill>
    </x:dxf>
    <x:dxf>
      <x:fill>
        <x:patternFill>
          <x:bgColor rgb="FFFFF2CC"/>
        </x:patternFill>
      </x:fill>
    </x:dxf>
    <x:dxf>
      <x:fill>
        <x:patternFill>
          <x:bgColor rgb="FFFFF2CC"/>
        </x:patternFill>
      </x:fill>
    </x:dxf>
    <x:dxf>
      <x:fill>
        <x:patternFill>
          <x:bgColor rgb="FFFFF2CC"/>
        </x:patternFill>
      </x:fill>
    </x:dxf>
    <x:dxf>
      <x:fill>
        <x:patternFill>
          <x:bgColor rgb="FFFFF2CC"/>
        </x:patternFill>
      </x:fill>
    </x:dxf>
    <x:dxf>
      <x:fill>
        <x:patternFill>
          <x:bgColor rgb="FFFFF2CC"/>
        </x:patternFill>
      </x:fill>
    </x:dxf>
    <x:dxf>
      <x:fill>
        <x:patternFill>
          <x:bgColor rgb="FFFFF2CC"/>
        </x:patternFill>
      </x:fill>
    </x:dxf>
    <x:dxf>
      <x:fill>
        <x:patternFill>
          <x:bgColor rgb="FFFFF2CC"/>
        </x:patternFill>
      </x:fill>
    </x:dxf>
    <x:dxf>
      <x:fill>
        <x:patternFill>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250c0efcd9f4493" /><Relationship Type="http://schemas.openxmlformats.org/officeDocument/2006/relationships/theme" Target="/xl/theme/theme1.xml" Id="R17e58c4c86d44549" /><Relationship Type="http://schemas.openxmlformats.org/officeDocument/2006/relationships/sharedStrings" Target="/xl/sharedStrings.xml" Id="Rfc9ce48adb64492f" /><Relationship Type="http://schemas.openxmlformats.org/officeDocument/2006/relationships/worksheet" Target="/xl/worksheets/sheet1.xml" Id="R07b9b2704fe04115" /><Relationship Type="http://schemas.openxmlformats.org/officeDocument/2006/relationships/worksheet" Target="/xl/worksheets/sheet2.xml" Id="R08e41e326d134f9f" /><Relationship Type="http://schemas.openxmlformats.org/officeDocument/2006/relationships/worksheet" Target="/xl/worksheets/sheet3.xml" Id="Rafb55e13a7584855" /></Relationships>
</file>

<file path=xl/drawings/_rels/drawing1.xml.rels>&#65279;<?xml version="1.0" encoding="utf-8"?><Relationships xmlns="http://schemas.openxmlformats.org/package/2006/relationships"><Relationship Type="http://schemas.openxmlformats.org/officeDocument/2006/relationships/chart" Target="/xl/drawings/charts/chart1.xml" Id="Ra58e260b5b1740e3" /><Relationship Type="http://schemas.openxmlformats.org/officeDocument/2006/relationships/chart" Target="/xl/drawings/charts/chart2.xml" Id="Ra4fd44275ea64da2" /><Relationship Type="http://schemas.openxmlformats.org/officeDocument/2006/relationships/chart" Target="/xl/drawings/charts/chart3.xml" Id="Rba2518f0abaf4e0e" /><Relationship Type="http://schemas.openxmlformats.org/officeDocument/2006/relationships/chart" Target="/xl/drawings/charts/chart4.xml" Id="Rdcdd7872419a4d26" /></Relationships>
</file>

<file path=xl/drawings/charts/chart1.xml><?xml version="1.0" encoding="utf-8"?>
<c:chartSpace xmlns:c="http://schemas.openxmlformats.org/drawingml/2006/chart">
  <c:lang val="en-US"/>
  <c:roundedCorners val="0"/>
  <c:chart>
    <c:plotArea>
      <c:lineChart>
        <c:grouping val="standard"/>
        <c:varyColors val="0"/>
        <c:ser>
          <c:idx val="0"/>
          <c:order val="0"/>
          <c:tx>
            <c:v>MPPT yield</c:v>
          </c:tx>
          <c:marker>
            <c:symbol val="none"/>
          </c:marker>
          <c:cat>
            <c:strRef>
              <c:f>'Dashboard'!$P$2:$P$14</c:f>
              <c:strCache>
                <c:ptCount val="0"/>
              </c:strCache>
            </c:strRef>
          </c:cat>
          <c:val>
            <c:numRef>
              <c:f>'Dashboard'!$Q$2:$Q$14</c:f>
              <c:numCache>
                <c:formatCode>General</c:formatCode>
                <c:ptCount val="0"/>
              </c:numCache>
            </c:numRef>
          </c:val>
        </c:ser>
        <c:ser>
          <c:idx val="1"/>
          <c:order val="1"/>
          <c:tx>
            <c:v>MPPT consumption</c:v>
          </c:tx>
          <c:marker>
            <c:symbol val="none"/>
          </c:marker>
          <c:cat>
            <c:strRef>
              <c:f>'Dashboard'!$P$2:$P$14</c:f>
              <c:strCache>
                <c:ptCount val="0"/>
              </c:strCache>
            </c:strRef>
          </c:cat>
          <c:val>
            <c:numRef>
              <c:f>'Dashboard'!$R$2:$R$14</c:f>
              <c:numCache>
                <c:formatCode>General</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dd-mmm"/>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plotArea>
      <c:lineChart>
        <c:grouping val="standard"/>
        <c:varyColors val="0"/>
        <c:ser>
          <c:idx val="0"/>
          <c:order val="0"/>
          <c:tx>
            <c:v>UCL cloud cover</c:v>
          </c:tx>
          <c:marker>
            <c:symbol val="none"/>
          </c:marker>
          <c:cat>
            <c:strRef>
              <c:f>'Dashboard'!$P$2:$P$14</c:f>
              <c:strCache>
                <c:ptCount val="0"/>
              </c:strCache>
            </c:strRef>
          </c:cat>
          <c:val>
            <c:numRef>
              <c:f>'Dashboard'!$T$2:$T$14</c:f>
              <c:numCache>
                <c:formatCode>General</c:formatCode>
                <c:ptCount val="0"/>
              </c:numCache>
            </c:numRef>
          </c:val>
        </c:ser>
        <c:ser>
          <c:idx val="1"/>
          <c:order val="1"/>
          <c:tx>
            <c:v>Siguiri cloud cover</c:v>
          </c:tx>
          <c:marker>
            <c:symbol val="none"/>
          </c:marker>
          <c:cat>
            <c:strRef>
              <c:f>'Dashboard'!$P$2:$P$14</c:f>
              <c:strCache>
                <c:ptCount val="0"/>
              </c:strCache>
            </c:strRef>
          </c:cat>
          <c:val>
            <c:numRef>
              <c:f>'Dashboard'!$U$2:$U$14</c:f>
              <c:numCache>
                <c:formatCode>General</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dd-mmm"/>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plotArea>
      <c:barChart>
        <c:barDir val="col"/>
        <c:varyColors val="0"/>
        <c:ser>
          <c:idx val="0"/>
          <c:order val="0"/>
          <c:tx>
            <c:v>Rainfall</c:v>
          </c:tx>
          <c:cat>
            <c:strRef>
              <c:f>'Dashboard'!$P$2:$P$14</c:f>
              <c:strCache>
                <c:ptCount val="0"/>
              </c:strCache>
            </c:strRef>
          </c:cat>
          <c:val>
            <c:numRef>
              <c:f>'Dashboard'!$V$2:$V$14</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plotArea>
      <c:lineChart>
        <c:grouping val="standard"/>
        <c:varyColors val="0"/>
        <c:ser>
          <c:idx val="0"/>
          <c:order val="0"/>
          <c:tx>
            <c:v>Measured energy</c:v>
          </c:tx>
          <c:marker>
            <c:symbol val="none"/>
          </c:marker>
          <c:cat>
            <c:strRef>
              <c:f>'Dashboard'!$P$2:$P$14</c:f>
              <c:strCache>
                <c:ptCount val="0"/>
              </c:strCache>
            </c:strRef>
          </c:cat>
          <c:val>
            <c:numRef>
              <c:f>'Dashboard'!$S$2:$S$14</c:f>
              <c:numCache>
                <c:formatCode>General</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19</xdr:row>
      <xdr:rowOff>0</xdr:rowOff>
    </xdr:from>
    <xdr:to>
      <xdr:col>7</xdr:col>
      <xdr:colOff>0</xdr:colOff>
      <xdr:row>34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58e260b5b1740e3"/>
        </a:graphicData>
      </a:graphic>
    </xdr:graphicFrame>
    <xdr:clientData/>
  </xdr:twoCellAnchor>
  <xdr:twoCellAnchor>
    <xdr:from>
      <xdr:col>7</xdr:col>
      <xdr:colOff>0</xdr:colOff>
      <xdr:row>19</xdr:row>
      <xdr:rowOff>0</xdr:rowOff>
    </xdr:from>
    <xdr:to>
      <xdr:col>14</xdr:col>
      <xdr:colOff>0</xdr:colOff>
      <xdr:row>34</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4fd44275ea64da2"/>
        </a:graphicData>
      </a:graphic>
    </xdr:graphicFrame>
    <xdr:clientData/>
  </xdr:twoCellAnchor>
  <xdr:twoCellAnchor>
    <xdr:from>
      <xdr:col>0</xdr:col>
      <xdr:colOff>0</xdr:colOff>
      <xdr:row>35</xdr:row>
      <xdr:rowOff>0</xdr:rowOff>
    </xdr:from>
    <xdr:to>
      <xdr:col>7</xdr:col>
      <xdr:colOff>0</xdr:colOff>
      <xdr:row>50</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a2518f0abaf4e0e"/>
        </a:graphicData>
      </a:graphic>
    </xdr:graphicFrame>
    <xdr:clientData/>
  </xdr:twoCellAnchor>
  <xdr:twoCellAnchor>
    <xdr:from>
      <xdr:col>7</xdr:col>
      <xdr:colOff>0</xdr:colOff>
      <xdr:row>35</xdr:row>
      <xdr:rowOff>0</xdr:rowOff>
    </xdr:from>
    <xdr:to>
      <xdr:col>14</xdr:col>
      <xdr:colOff>0</xdr:colOff>
      <xdr:row>50</xdr:row>
      <xdr:rowOff>0</xdr:rowOff>
    </xdr:to>
    <xdr:graphicFrame macro="">
      <xdr:nvGraphicFramePr>
        <xdr:cNvPr id="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cdd7872419a4d26"/>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18a86daa3ab34776" /></Relationships>
</file>

<file path=xl/worksheets/sheet1.xml><?xml version="1.0" encoding="utf-8"?>
<x:worksheet xmlns:x="http://schemas.openxmlformats.org/spreadsheetml/2006/main">
  <x:sheetFormatPr defaultRowHeight="15"/>
  <x:cols>
    <x:col min="16" max="16" width="10" hidden="0" customWidth="1"/>
    <x:col min="17" max="17" width="10" hidden="0" customWidth="1"/>
    <x:col min="18" max="18" width="10" hidden="0" customWidth="1"/>
    <x:col min="19" max="19" width="10" hidden="0" customWidth="1"/>
    <x:col min="20" max="20" width="10" hidden="0" customWidth="1"/>
    <x:col min="21" max="21" width="10" hidden="0" customWidth="1"/>
    <x:col min="22" max="22" width="10" hidden="0" customWidth="1"/>
    <x:col min="23" max="23" width="10" hidden="0" customWidth="1"/>
    <x:col min="1" max="1" width="12" hidden="0" customWidth="1"/>
    <x:col min="2" max="2" width="1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s>
  <x:sheetData>
    <x:row r="1">
      <x:c r="A1" s="174" t="str">
        <x:v>Smart Community Totem – Integrated Deployment Results Dashboard</x:v>
      </x:c>
      <x:c r="B1" s="174"/>
      <x:c r="C1" s="174"/>
      <x:c r="D1" s="174"/>
      <x:c r="E1" s="174"/>
      <x:c r="F1" s="174"/>
      <x:c r="G1" s="174"/>
      <x:c r="H1" s="174"/>
      <x:c r="I1" s="174"/>
      <x:c r="J1" s="174"/>
      <x:c r="K1" s="174"/>
      <x:c r="L1" s="174"/>
      <x:c r="M1" s="174"/>
      <x:c r="N1" s="174"/>
      <x:c r="P1" t="str">
        <x:v>Date</x:v>
      </x:c>
      <x:c r="Q1" t="str">
        <x:v>MPPT Yield</x:v>
      </x:c>
      <x:c r="R1" t="str">
        <x:v>MPPT Consumption</x:v>
      </x:c>
      <x:c r="S1" t="str">
        <x:v>Totem Energy</x:v>
      </x:c>
      <x:c r="T1" t="str">
        <x:v>UCL Cloud</x:v>
      </x:c>
      <x:c r="U1" t="str">
        <x:v>Siguiri Cloud</x:v>
      </x:c>
      <x:c r="V1" t="str">
        <x:v>Siguiri Rain</x:v>
      </x:c>
      <x:c r="W1" t="str">
        <x:v>Lighting Hours</x:v>
      </x:c>
    </x:row>
    <x:row r="2">
      <x:c r="A2" s="174"/>
      <x:c r="B2" s="174"/>
      <x:c r="C2" s="174"/>
      <x:c r="D2" s="174"/>
      <x:c r="E2" s="174"/>
      <x:c r="F2" s="174"/>
      <x:c r="G2" s="174"/>
      <x:c r="H2" s="174"/>
      <x:c r="I2" s="174"/>
      <x:c r="J2" s="174"/>
      <x:c r="K2" s="174"/>
      <x:c r="L2" s="174"/>
      <x:c r="M2" s="174"/>
      <x:c r="N2" s="174"/>
      <x:c r="P2" s="12" t="str">
        <x:v>6 Aug</x:v>
      </x:c>
      <x:c r="Q2" t="n">
        <x:v>40</x:v>
      </x:c>
      <x:c r="R2" t="n">
        <x:v>110</x:v>
      </x:c>
      <x:c r="S2" t="n">
        <x:v>25.146429583</x:v>
      </x:c>
      <x:c r="T2" t="n">
        <x:v>45.47826086956522</x:v>
      </x:c>
      <x:c r="U2" t="n">
        <x:v>49.166666666666664</x:v>
      </x:c>
      <x:c r="V2" t="n">
        <x:v>10.620000000000001</x:v>
      </x:c>
      <x:c r="W2" t="n">
        <x:v>4.624375877335061</x:v>
      </x:c>
    </x:row>
    <x:row r="3">
      <x:c r="A3" s="175" t="str">
        <x:v>Outdoor deployment at UCL East, One Pool Street | 6–18 August 2026 | Totem logs + MPPT solar history + OpenWeather historical data</x:v>
      </x:c>
      <x:c r="B3" s="175"/>
      <x:c r="C3" s="175"/>
      <x:c r="D3" s="175"/>
      <x:c r="E3" s="175"/>
      <x:c r="F3" s="175"/>
      <x:c r="G3" s="175"/>
      <x:c r="H3" s="175"/>
      <x:c r="I3" s="175"/>
      <x:c r="J3" s="175"/>
      <x:c r="K3" s="175"/>
      <x:c r="L3" s="175"/>
      <x:c r="M3" s="175"/>
      <x:c r="N3" s="175"/>
      <x:c r="P3" s="12" t="str">
        <x:v>7 Aug</x:v>
      </x:c>
      <x:c r="Q3" t="n">
        <x:v>40</x:v>
      </x:c>
      <x:c r="R3" t="n">
        <x:v>110</x:v>
      </x:c>
      <x:c r="S3" t="n">
        <x:v>26.213288908000003</x:v>
      </x:c>
      <x:c r="T3" t="n">
        <x:v>8.166666666666666</x:v>
      </x:c>
      <x:c r="U3" t="n">
        <x:v>83.75</x:v>
      </x:c>
      <x:c r="V3" t="n">
        <x:v>7.18</x:v>
      </x:c>
      <x:c r="W3" t="n">
        <x:v>4.3566666666666665</x:v>
      </x:c>
    </x:row>
    <x:row r="4">
      <x:c r="A4" s="176"/>
      <x:c r="B4" s="176"/>
      <x:c r="C4" s="176"/>
      <x:c r="D4" s="176"/>
      <x:c r="E4" s="176"/>
      <x:c r="F4" s="176"/>
      <x:c r="G4" s="176"/>
      <x:c r="H4" s="176"/>
      <x:c r="I4" s="176"/>
      <x:c r="J4" s="176"/>
      <x:c r="K4" s="176"/>
      <x:c r="L4" s="176"/>
      <x:c r="M4" s="176"/>
      <x:c r="N4" s="176"/>
      <x:c r="P4" s="12" t="str">
        <x:v>8 Aug</x:v>
      </x:c>
      <x:c r="Q4" t="n">
        <x:v>470</x:v>
      </x:c>
      <x:c r="R4" t="n">
        <x:v>0</x:v>
      </x:c>
      <x:c r="S4"/>
      <x:c r="T4" t="n">
        <x:v>41.083333333333336</x:v>
      </x:c>
      <x:c r="U4" t="n">
        <x:v>80.79166666666667</x:v>
      </x:c>
      <x:c r="V4" t="n">
        <x:v>0</x:v>
      </x:c>
      <x:c r="W4"/>
    </x:row>
    <x:row r="5">
      <x:c r="A5" s="177" t="str">
        <x:v>Valid Totem records</x:v>
      </x:c>
      <x:c r="B5" s="177"/>
      <x:c r="C5" s="177"/>
      <x:c r="D5" s="177" t="str">
        <x:v>Full logging days</x:v>
      </x:c>
      <x:c r="E5" s="177"/>
      <x:c r="F5" s="177"/>
      <x:c r="G5" s="177" t="str">
        <x:v>Mean full-day energy</x:v>
      </x:c>
      <x:c r="H5" s="177"/>
      <x:c r="I5" s="177"/>
      <x:c r="J5" s="177" t="str">
        <x:v>Mean full-day lighting</x:v>
      </x:c>
      <x:c r="K5" s="177"/>
      <x:c r="L5" s="177"/>
      <x:c r="M5" s="177" t="str">
        <x:v>Flood test events</x:v>
      </x:c>
      <x:c r="N5" s="177"/>
      <x:c r="P5" s="12" t="str">
        <x:v>9 Aug</x:v>
      </x:c>
      <x:c r="Q5" t="n">
        <x:v>270</x:v>
      </x:c>
      <x:c r="R5" t="n">
        <x:v>80</x:v>
      </x:c>
      <x:c r="S5" t="n">
        <x:v>25.722103847</x:v>
      </x:c>
      <x:c r="T5" t="n">
        <x:v>26.083333333333332</x:v>
      </x:c>
      <x:c r="U5" t="n">
        <x:v>88.45833333333333</x:v>
      </x:c>
      <x:c r="V5" t="n">
        <x:v>3.7200000000000006</x:v>
      </x:c>
      <x:c r="W5" t="n">
        <x:v>3.1671766471245113</x:v>
      </x:c>
    </x:row>
    <x:row r="6">
      <x:c r="A6" s="178" t="n">
        <x:f>SUM('Daily Analysis'!B2:B14)</x:f>
        <x:v>163632</x:v>
      </x:c>
      <x:c r="B6" s="179"/>
      <x:c r="C6" s="180"/>
      <x:c r="D6" s="178" t="n">
        <x:f>SUM('Daily Analysis'!AA2:AA14)</x:f>
        <x:v>8</x:v>
      </x:c>
      <x:c r="E6" s="179"/>
      <x:c r="F6" s="180"/>
      <x:c r="G6" s="181" t="n">
        <x:f>SUMIF('Daily Analysis'!AA2:AA14,1,'Daily Analysis'!G2:G14)/SUM('Daily Analysis'!AA2:AA14)</x:f>
        <x:v>70.80342576225001</x:v>
      </x:c>
      <x:c r="H6" s="179"/>
      <x:c r="I6" s="180"/>
      <x:c r="J6" s="182" t="n">
        <x:f>SUMIF('Daily Analysis'!AA2:AA14,1,'Daily Analysis'!H2:H14)/SUM('Daily Analysis'!AA2:AA14)</x:f>
        <x:v>9.06379500122589</x:v>
      </x:c>
      <x:c r="K6" s="179"/>
      <x:c r="L6" s="180"/>
      <x:c r="M6" s="178" t="n">
        <x:f>SUM('Daily Analysis'!I2:I14)</x:f>
        <x:v>11</x:v>
      </x:c>
      <x:c r="N6" s="180"/>
      <x:c r="P6" s="12" t="str">
        <x:v>10 Aug</x:v>
      </x:c>
      <x:c r="Q6" t="n">
        <x:v>330</x:v>
      </x:c>
      <x:c r="R6" t="n">
        <x:v>200</x:v>
      </x:c>
      <x:c r="S6" t="n">
        <x:v>68.557689108</x:v>
      </x:c>
      <x:c r="T6" t="n">
        <x:v>61.75</x:v>
      </x:c>
      <x:c r="U6" t="n">
        <x:v>96.83333333333333</x:v>
      </x:c>
      <x:c r="V6" t="n">
        <x:v>48.79000000000001</x:v>
      </x:c>
      <x:c r="W6" t="n">
        <x:v>8.81708351300848</x:v>
      </x:c>
    </x:row>
    <x:row r="7">
      <x:c r="A7" s="183"/>
      <x:c r="B7" s="184"/>
      <x:c r="C7" s="185"/>
      <x:c r="D7" s="183"/>
      <x:c r="E7" s="184"/>
      <x:c r="F7" s="185"/>
      <x:c r="G7" s="183"/>
      <x:c r="H7" s="184"/>
      <x:c r="I7" s="185"/>
      <x:c r="J7" s="183"/>
      <x:c r="K7" s="184"/>
      <x:c r="L7" s="185"/>
      <x:c r="M7" s="183"/>
      <x:c r="N7" s="185"/>
      <x:c r="P7" s="12" t="str">
        <x:v>11 Aug</x:v>
      </x:c>
      <x:c r="Q7" t="n">
        <x:v>320</x:v>
      </x:c>
      <x:c r="R7" t="n">
        <x:v>200</x:v>
      </x:c>
      <x:c r="S7" t="n">
        <x:v>69.090712863</x:v>
      </x:c>
      <x:c r="T7" t="n">
        <x:v>13.625</x:v>
      </x:c>
      <x:c r="U7" t="n">
        <x:v>73.91666666666667</x:v>
      </x:c>
      <x:c r="V7" t="n">
        <x:v>0</x:v>
      </x:c>
      <x:c r="W7" t="n">
        <x:v>8.819472449333047</x:v>
      </x:c>
    </x:row>
    <x:row r="8">
      <x:c r="A8" s="176"/>
      <x:c r="B8" s="176"/>
      <x:c r="C8" s="176"/>
      <x:c r="D8" s="176"/>
      <x:c r="E8" s="176"/>
      <x:c r="F8" s="176"/>
      <x:c r="G8" s="176"/>
      <x:c r="H8" s="176"/>
      <x:c r="I8" s="176"/>
      <x:c r="J8" s="176"/>
      <x:c r="K8" s="176"/>
      <x:c r="L8" s="176"/>
      <x:c r="M8" s="176"/>
      <x:c r="N8" s="176"/>
      <x:c r="P8" s="12" t="str">
        <x:v>12 Aug</x:v>
      </x:c>
      <x:c r="Q8" t="n">
        <x:v>340</x:v>
      </x:c>
      <x:c r="R8" t="n">
        <x:v>180</x:v>
      </x:c>
      <x:c r="S8" t="n">
        <x:v>70.061120677</x:v>
      </x:c>
      <x:c r="T8" t="n">
        <x:v>18.5</x:v>
      </x:c>
      <x:c r="U8" t="n">
        <x:v>67.41666666666667</x:v>
      </x:c>
      <x:c r="V8" t="n">
        <x:v>0</x:v>
      </x:c>
      <x:c r="W8" t="n">
        <x:v>8.89094028415558</x:v>
      </x:c>
    </x:row>
    <x:row r="9">
      <x:c r="A9" s="177" t="str">
        <x:v>MPPT solar yield</x:v>
      </x:c>
      <x:c r="B9" s="177"/>
      <x:c r="C9" s="177"/>
      <x:c r="D9" s="177" t="str">
        <x:v>MPPT load consumption</x:v>
      </x:c>
      <x:c r="E9" s="177"/>
      <x:c r="F9" s="177"/>
      <x:c r="G9" s="177" t="str">
        <x:v>Solar balance</x:v>
      </x:c>
      <x:c r="H9" s="177"/>
      <x:c r="I9" s="177"/>
      <x:c r="J9" s="177" t="str">
        <x:v>Siguiri rainfall</x:v>
      </x:c>
      <x:c r="K9" s="177"/>
      <x:c r="L9" s="177"/>
      <x:c r="M9" s="177" t="str">
        <x:v>System health</x:v>
      </x:c>
      <x:c r="N9" s="177"/>
      <x:c r="P9" s="12" t="str">
        <x:v>13 Aug</x:v>
      </x:c>
      <x:c r="Q9" t="n">
        <x:v>340</x:v>
      </x:c>
      <x:c r="R9" t="n">
        <x:v>240</x:v>
      </x:c>
      <x:c r="S9" t="n">
        <x:v>70.59323917900002</x:v>
      </x:c>
      <x:c r="T9" t="n">
        <x:v>2.5</x:v>
      </x:c>
      <x:c r="U9" t="n">
        <x:v>60.208333333333336</x:v>
      </x:c>
      <x:c r="V9" t="n">
        <x:v>0</x:v>
      </x:c>
      <x:c r="W9" t="n">
        <x:v>8.9049672346217</x:v>
      </x:c>
    </x:row>
    <x:row r="10">
      <x:c r="A10" s="186" t="n">
        <x:f>SUM('Daily Analysis'!J2:J14)/1000</x:f>
        <x:v>3.53</x:v>
      </x:c>
      <x:c r="B10" s="179"/>
      <x:c r="C10" s="180"/>
      <x:c r="D10" s="186" t="n">
        <x:f>SUM('Daily Analysis'!K2:K14)/1000</x:f>
        <x:v>2.18</x:v>
      </x:c>
      <x:c r="E10" s="179"/>
      <x:c r="F10" s="180"/>
      <x:c r="G10" s="241" t="n">
        <x:f>SUM('Daily Analysis'!J2:J14)/1000-SUM('Daily Analysis'!K2:K14)/1000</x:f>
        <x:v>1.3499999999999996</x:v>
      </x:c>
      <x:c r="H10" s="179"/>
      <x:c r="I10" s="180"/>
      <x:c r="J10" s="188" t="n">
        <x:f>SUM('Daily Analysis'!T2:T14)</x:f>
        <x:v>70.31000000000002</x:v>
      </x:c>
      <x:c r="K10" s="179"/>
      <x:c r="L10" s="180"/>
      <x:c r="M10" s="189" t="n">
        <x:f>AVERAGE('Daily Analysis'!X2:Z14)</x:f>
        <x:v>100</x:v>
      </x:c>
      <x:c r="N10" s="180"/>
      <x:c r="P10" s="12" t="str">
        <x:v>14 Aug</x:v>
      </x:c>
      <x:c r="Q10" t="n">
        <x:v>340</x:v>
      </x:c>
      <x:c r="R10" t="n">
        <x:v>220</x:v>
      </x:c>
      <x:c r="S10" t="n">
        <x:v>71.33698634599999</x:v>
      </x:c>
      <x:c r="T10" t="n">
        <x:v>47.5</x:v>
      </x:c>
      <x:c r="U10" t="n">
        <x:v>41.916666666666664</x:v>
      </x:c>
      <x:c r="V10" t="n">
        <x:v>0</x:v>
      </x:c>
      <x:c r="W10" t="n">
        <x:v>9.016053368947547</x:v>
      </x:c>
    </x:row>
    <x:row r="11">
      <x:c r="A11" s="183"/>
      <x:c r="B11" s="184"/>
      <x:c r="C11" s="185"/>
      <x:c r="D11" s="183"/>
      <x:c r="E11" s="184"/>
      <x:c r="F11" s="185"/>
      <x:c r="G11" s="183"/>
      <x:c r="H11" s="184"/>
      <x:c r="I11" s="185"/>
      <x:c r="J11" s="183"/>
      <x:c r="K11" s="184"/>
      <x:c r="L11" s="185"/>
      <x:c r="M11" s="183"/>
      <x:c r="N11" s="185"/>
      <x:c r="P11" s="12" t="str">
        <x:v>15 Aug</x:v>
      </x:c>
      <x:c r="Q11" t="n">
        <x:v>340</x:v>
      </x:c>
      <x:c r="R11" t="n">
        <x:v>210</x:v>
      </x:c>
      <x:c r="S11" t="n">
        <x:v>72.88573710600002</x:v>
      </x:c>
      <x:c r="T11" t="n">
        <x:v>75</x:v>
      </x:c>
      <x:c r="U11" t="n">
        <x:v>98.5</x:v>
      </x:c>
      <x:c r="V11" t="n">
        <x:v>0</x:v>
      </x:c>
      <x:c r="W11" t="n">
        <x:v>9.405033197073024</x:v>
      </x:c>
    </x:row>
    <x:row r="12">
      <x:c r="A12" s="176"/>
      <x:c r="B12" s="176"/>
      <x:c r="C12" s="176"/>
      <x:c r="D12" s="176"/>
      <x:c r="E12" s="176"/>
      <x:c r="F12" s="176"/>
      <x:c r="G12" s="176"/>
      <x:c r="H12" s="176"/>
      <x:c r="I12" s="176"/>
      <x:c r="J12" s="176"/>
      <x:c r="K12" s="176"/>
      <x:c r="L12" s="176"/>
      <x:c r="M12" s="176"/>
      <x:c r="N12" s="176"/>
      <x:c r="P12" s="12" t="str">
        <x:v>16 Aug</x:v>
      </x:c>
      <x:c r="Q12" t="n">
        <x:v>230</x:v>
      </x:c>
      <x:c r="R12" t="n">
        <x:v>210</x:v>
      </x:c>
      <x:c r="S12" t="n">
        <x:v>70.66956082499999</x:v>
      </x:c>
      <x:c r="T12" t="n">
        <x:v>82.875</x:v>
      </x:c>
      <x:c r="U12" t="n">
        <x:v>57.5</x:v>
      </x:c>
      <x:c r="V12" t="n">
        <x:v>0</x:v>
      </x:c>
      <x:c r="W12" t="n">
        <x:v>9.164473080653194</x:v>
      </x:c>
    </x:row>
    <x:row r="13">
      <x:c r="A13" s="190" t="str">
        <x:v>Evidence-based interpretation</x:v>
      </x:c>
      <x:c r="B13" s="190"/>
      <x:c r="C13" s="190"/>
      <x:c r="D13" s="190"/>
      <x:c r="E13" s="190"/>
      <x:c r="F13" s="190"/>
      <x:c r="G13" s="190"/>
      <x:c r="H13" s="190"/>
      <x:c r="I13" s="190"/>
      <x:c r="J13" s="190"/>
      <x:c r="K13" s="190"/>
      <x:c r="L13" s="190"/>
      <x:c r="M13" s="190"/>
      <x:c r="N13" s="190"/>
      <x:c r="P13" s="12" t="str">
        <x:v>17 Aug</x:v>
      </x:c>
      <x:c r="Q13" t="n">
        <x:v>330</x:v>
      </x:c>
      <x:c r="R13" t="n">
        <x:v>210</x:v>
      </x:c>
      <x:c r="S13" t="n">
        <x:v>73.23235999399999</x:v>
      </x:c>
      <x:c r="T13" t="n">
        <x:v>86.375</x:v>
      </x:c>
      <x:c r="U13" t="n">
        <x:v>86.25</x:v>
      </x:c>
      <x:c r="V13" t="n">
        <x:v>0</x:v>
      </x:c>
      <x:c r="W13" t="n">
        <x:v>9.492336882014548</x:v>
      </x:c>
    </x:row>
    <x:row r="14">
      <x:c r="A14" s="161" t="str">
        <x:v>• The Totem produced 163,632 valid five-second records across 12 days; eight days had &gt;23 hours of continuous logging. Two malformed RTC records were excluded.
• Across complete logging days, measured Totem energy use averaged about 70.8 Wh/day and the lighting system was active for about 9.1 h/day.
• The MPPT controller recorded 3.53 kWh of solar yield and 2.18 kWh of controller-reported load consumption over 6–18 August, a positive recorded balance of 1.35 kWh. Maximum observed PV power was 105 W from the 160 W panel.
• UCL conditions became markedly cloudier late in the deployment; MPPT yield fell to 230 Wh on 16 Aug and 140 Wh on 18 Aug. The short dataset is not sufficient to attribute yield to cloud cover alone because battery state and charge-controller mode also affect harvested energy.
• Siguiri experienced 70.31 mm of recorded rainfall across the same period, including 48.79 mm on 10 Aug, supporting the relevance of evaluating the flood-warning concept against a real rainy-season context in Guinea.</x:v>
      </x:c>
      <x:c r="B14" s="161"/>
      <x:c r="C14" s="161"/>
      <x:c r="D14" s="161"/>
      <x:c r="E14" s="161"/>
      <x:c r="F14" s="161"/>
      <x:c r="G14" s="161"/>
      <x:c r="H14" s="161"/>
      <x:c r="I14" s="161"/>
      <x:c r="J14" s="161"/>
      <x:c r="K14" s="161"/>
      <x:c r="L14" s="161"/>
      <x:c r="M14" s="161"/>
      <x:c r="N14" s="161"/>
      <x:c r="P14" s="12" t="str">
        <x:v>18 Aug</x:v>
      </x:c>
      <x:c r="Q14" t="n">
        <x:v>140</x:v>
      </x:c>
      <x:c r="R14" t="n">
        <x:v>210</x:v>
      </x:c>
      <x:c r="S14" t="n">
        <x:v>45.67856464500004</x:v>
      </x:c>
      <x:c r="T14" t="n">
        <x:v>100</x:v>
      </x:c>
      <x:c r="U14" t="n">
        <x:v>87.58333333333333</x:v>
      </x:c>
      <x:c r="V14" t="n">
        <x:v>0</x:v>
      </x:c>
      <x:c r="W14" t="n">
        <x:v>5.9694812109057915</x:v>
      </x:c>
    </x:row>
    <x:row r="15">
      <x:c r="A15" s="161"/>
      <x:c r="B15" s="161"/>
      <x:c r="C15" s="161"/>
      <x:c r="D15" s="161"/>
      <x:c r="E15" s="161"/>
      <x:c r="F15" s="161"/>
      <x:c r="G15" s="161"/>
      <x:c r="H15" s="161"/>
      <x:c r="I15" s="161"/>
      <x:c r="J15" s="161"/>
      <x:c r="K15" s="161"/>
      <x:c r="L15" s="161"/>
      <x:c r="M15" s="161"/>
      <x:c r="N15" s="161"/>
    </x:row>
    <x:row r="16">
      <x:c r="A16" s="161"/>
      <x:c r="B16" s="161"/>
      <x:c r="C16" s="161"/>
      <x:c r="D16" s="161"/>
      <x:c r="E16" s="161"/>
      <x:c r="F16" s="161"/>
      <x:c r="G16" s="161"/>
      <x:c r="H16" s="161"/>
      <x:c r="I16" s="161"/>
      <x:c r="J16" s="161"/>
      <x:c r="K16" s="161"/>
      <x:c r="L16" s="161"/>
      <x:c r="M16" s="161"/>
      <x:c r="N16" s="161"/>
    </x:row>
    <x:row r="17">
      <x:c r="A17" s="161"/>
      <x:c r="B17" s="161"/>
      <x:c r="C17" s="161"/>
      <x:c r="D17" s="161"/>
      <x:c r="E17" s="161"/>
      <x:c r="F17" s="161"/>
      <x:c r="G17" s="161"/>
      <x:c r="H17" s="161"/>
      <x:c r="I17" s="161"/>
      <x:c r="J17" s="161"/>
      <x:c r="K17" s="161"/>
      <x:c r="L17" s="161"/>
      <x:c r="M17" s="161"/>
      <x:c r="N17" s="161"/>
    </x:row>
    <x:row r="18">
      <x:c r="A18" s="161"/>
      <x:c r="B18" s="161"/>
      <x:c r="C18" s="161"/>
      <x:c r="D18" s="161"/>
      <x:c r="E18" s="161"/>
      <x:c r="F18" s="161"/>
      <x:c r="G18" s="161"/>
      <x:c r="H18" s="161"/>
      <x:c r="I18" s="161"/>
      <x:c r="J18" s="161"/>
      <x:c r="K18" s="161"/>
      <x:c r="L18" s="161"/>
      <x:c r="M18" s="161"/>
      <x:c r="N18" s="161"/>
    </x:row>
    <x:row r="19">
      <x:c r="A19" s="176"/>
      <x:c r="B19" s="176"/>
      <x:c r="C19" s="176"/>
      <x:c r="D19" s="176"/>
      <x:c r="E19" s="176"/>
      <x:c r="F19" s="176"/>
      <x:c r="G19" s="176"/>
      <x:c r="H19" s="176"/>
      <x:c r="I19" s="176"/>
      <x:c r="J19" s="176"/>
      <x:c r="K19" s="176"/>
      <x:c r="L19" s="176"/>
      <x:c r="M19" s="176"/>
      <x:c r="N19" s="176"/>
    </x:row>
    <x:row r="20">
      <x:c r="A20" s="176"/>
      <x:c r="B20" s="176"/>
      <x:c r="C20" s="176"/>
      <x:c r="D20" s="176"/>
      <x:c r="E20" s="176"/>
      <x:c r="F20" s="176"/>
      <x:c r="G20" s="176"/>
      <x:c r="H20" s="176"/>
      <x:c r="I20" s="176"/>
      <x:c r="J20" s="176"/>
      <x:c r="K20" s="176"/>
      <x:c r="L20" s="176"/>
      <x:c r="M20" s="176"/>
      <x:c r="N20" s="176"/>
    </x:row>
    <x:row r="21">
      <x:c r="A21" s="176"/>
      <x:c r="B21" s="176"/>
      <x:c r="C21" s="176"/>
      <x:c r="D21" s="176"/>
      <x:c r="E21" s="176"/>
      <x:c r="F21" s="176"/>
      <x:c r="G21" s="176"/>
      <x:c r="H21" s="176"/>
      <x:c r="I21" s="176"/>
      <x:c r="J21" s="176"/>
      <x:c r="K21" s="176"/>
      <x:c r="L21" s="176"/>
      <x:c r="M21" s="176"/>
      <x:c r="N21" s="176"/>
    </x:row>
    <x:row r="22">
      <x:c r="A22" s="176"/>
      <x:c r="B22" s="176"/>
      <x:c r="C22" s="176"/>
      <x:c r="D22" s="176"/>
      <x:c r="E22" s="176"/>
      <x:c r="F22" s="176"/>
      <x:c r="G22" s="176"/>
      <x:c r="H22" s="176"/>
      <x:c r="I22" s="176"/>
      <x:c r="J22" s="176"/>
      <x:c r="K22" s="176"/>
      <x:c r="L22" s="176"/>
      <x:c r="M22" s="176"/>
      <x:c r="N22" s="176"/>
    </x:row>
    <x:row r="23">
      <x:c r="A23" s="176"/>
      <x:c r="B23" s="176"/>
      <x:c r="C23" s="176"/>
      <x:c r="D23" s="176"/>
      <x:c r="E23" s="176"/>
      <x:c r="F23" s="176"/>
      <x:c r="G23" s="176"/>
      <x:c r="H23" s="176"/>
      <x:c r="I23" s="176"/>
      <x:c r="J23" s="176"/>
      <x:c r="K23" s="176"/>
      <x:c r="L23" s="176"/>
      <x:c r="M23" s="176"/>
      <x:c r="N23" s="176"/>
    </x:row>
    <x:row r="24">
      <x:c r="A24" s="176"/>
      <x:c r="B24" s="176"/>
      <x:c r="C24" s="176"/>
      <x:c r="D24" s="176"/>
      <x:c r="E24" s="176"/>
      <x:c r="F24" s="176"/>
      <x:c r="G24" s="176"/>
      <x:c r="H24" s="176"/>
      <x:c r="I24" s="176"/>
      <x:c r="J24" s="176"/>
      <x:c r="K24" s="176"/>
      <x:c r="L24" s="176"/>
      <x:c r="M24" s="176"/>
      <x:c r="N24" s="176"/>
    </x:row>
    <x:row r="25">
      <x:c r="A25" s="176"/>
      <x:c r="B25" s="176"/>
      <x:c r="C25" s="176"/>
      <x:c r="D25" s="176"/>
      <x:c r="E25" s="176"/>
      <x:c r="F25" s="176"/>
      <x:c r="G25" s="176"/>
      <x:c r="H25" s="176"/>
      <x:c r="I25" s="176"/>
      <x:c r="J25" s="176"/>
      <x:c r="K25" s="176"/>
      <x:c r="L25" s="176"/>
      <x:c r="M25" s="176"/>
      <x:c r="N25" s="176"/>
    </x:row>
    <x:row r="26">
      <x:c r="A26" s="176"/>
      <x:c r="B26" s="176"/>
      <x:c r="C26" s="176"/>
      <x:c r="D26" s="176"/>
      <x:c r="E26" s="176"/>
      <x:c r="F26" s="176"/>
      <x:c r="G26" s="176"/>
      <x:c r="H26" s="176"/>
      <x:c r="I26" s="176"/>
      <x:c r="J26" s="176"/>
      <x:c r="K26" s="176"/>
      <x:c r="L26" s="176"/>
      <x:c r="M26" s="176"/>
      <x:c r="N26" s="176"/>
    </x:row>
    <x:row r="27">
      <x:c r="A27" s="176"/>
      <x:c r="B27" s="176"/>
      <x:c r="C27" s="176"/>
      <x:c r="D27" s="176"/>
      <x:c r="E27" s="176"/>
      <x:c r="F27" s="176"/>
      <x:c r="G27" s="176"/>
      <x:c r="H27" s="176"/>
      <x:c r="I27" s="176"/>
      <x:c r="J27" s="176"/>
      <x:c r="K27" s="176"/>
      <x:c r="L27" s="176"/>
      <x:c r="M27" s="176"/>
      <x:c r="N27" s="176"/>
    </x:row>
    <x:row r="28">
      <x:c r="A28" s="176"/>
      <x:c r="B28" s="176"/>
      <x:c r="C28" s="176"/>
      <x:c r="D28" s="176"/>
      <x:c r="E28" s="176"/>
      <x:c r="F28" s="176"/>
      <x:c r="G28" s="176"/>
      <x:c r="H28" s="176"/>
      <x:c r="I28" s="176"/>
      <x:c r="J28" s="176"/>
      <x:c r="K28" s="176"/>
      <x:c r="L28" s="176"/>
      <x:c r="M28" s="176"/>
      <x:c r="N28" s="176"/>
    </x:row>
    <x:row r="29">
      <x:c r="A29" s="176"/>
      <x:c r="B29" s="176"/>
      <x:c r="C29" s="176"/>
      <x:c r="D29" s="176"/>
      <x:c r="E29" s="176"/>
      <x:c r="F29" s="176"/>
      <x:c r="G29" s="176"/>
      <x:c r="H29" s="176"/>
      <x:c r="I29" s="176"/>
      <x:c r="J29" s="176"/>
      <x:c r="K29" s="176"/>
      <x:c r="L29" s="176"/>
      <x:c r="M29" s="176"/>
      <x:c r="N29" s="176"/>
    </x:row>
    <x:row r="30">
      <x:c r="A30" s="176"/>
      <x:c r="B30" s="176"/>
      <x:c r="C30" s="176"/>
      <x:c r="D30" s="176"/>
      <x:c r="E30" s="176"/>
      <x:c r="F30" s="176"/>
      <x:c r="G30" s="176"/>
      <x:c r="H30" s="176"/>
      <x:c r="I30" s="176"/>
      <x:c r="J30" s="176"/>
      <x:c r="K30" s="176"/>
      <x:c r="L30" s="176"/>
      <x:c r="M30" s="176"/>
      <x:c r="N30" s="176"/>
    </x:row>
    <x:row r="31">
      <x:c r="A31" s="176"/>
      <x:c r="B31" s="176"/>
      <x:c r="C31" s="176"/>
      <x:c r="D31" s="176"/>
      <x:c r="E31" s="176"/>
      <x:c r="F31" s="176"/>
      <x:c r="G31" s="176"/>
      <x:c r="H31" s="176"/>
      <x:c r="I31" s="176"/>
      <x:c r="J31" s="176"/>
      <x:c r="K31" s="176"/>
      <x:c r="L31" s="176"/>
      <x:c r="M31" s="176"/>
      <x:c r="N31" s="176"/>
    </x:row>
    <x:row r="32">
      <x:c r="A32" s="176"/>
      <x:c r="B32" s="176"/>
      <x:c r="C32" s="176"/>
      <x:c r="D32" s="176"/>
      <x:c r="E32" s="176"/>
      <x:c r="F32" s="176"/>
      <x:c r="G32" s="176"/>
      <x:c r="H32" s="176"/>
      <x:c r="I32" s="176"/>
      <x:c r="J32" s="176"/>
      <x:c r="K32" s="176"/>
      <x:c r="L32" s="176"/>
      <x:c r="M32" s="176"/>
      <x:c r="N32" s="176"/>
    </x:row>
    <x:row r="33">
      <x:c r="A33" s="176"/>
      <x:c r="B33" s="176"/>
      <x:c r="C33" s="176"/>
      <x:c r="D33" s="176"/>
      <x:c r="E33" s="176"/>
      <x:c r="F33" s="176"/>
      <x:c r="G33" s="176"/>
      <x:c r="H33" s="176"/>
      <x:c r="I33" s="176"/>
      <x:c r="J33" s="176"/>
      <x:c r="K33" s="176"/>
      <x:c r="L33" s="176"/>
      <x:c r="M33" s="176"/>
      <x:c r="N33" s="176"/>
    </x:row>
    <x:row r="34">
      <x:c r="A34" s="176"/>
      <x:c r="B34" s="176"/>
      <x:c r="C34" s="176"/>
      <x:c r="D34" s="176"/>
      <x:c r="E34" s="176"/>
      <x:c r="F34" s="176"/>
      <x:c r="G34" s="176"/>
      <x:c r="H34" s="176"/>
      <x:c r="I34" s="176"/>
      <x:c r="J34" s="176"/>
      <x:c r="K34" s="176"/>
      <x:c r="L34" s="176"/>
      <x:c r="M34" s="176"/>
      <x:c r="N34" s="176"/>
    </x:row>
    <x:row r="35">
      <x:c r="A35" s="176"/>
      <x:c r="B35" s="176"/>
      <x:c r="C35" s="176"/>
      <x:c r="D35" s="176"/>
      <x:c r="E35" s="176"/>
      <x:c r="F35" s="176"/>
      <x:c r="G35" s="176"/>
      <x:c r="H35" s="176"/>
      <x:c r="I35" s="176"/>
      <x:c r="J35" s="176"/>
      <x:c r="K35" s="176"/>
      <x:c r="L35" s="176"/>
      <x:c r="M35" s="176"/>
      <x:c r="N35" s="176"/>
    </x:row>
    <x:row r="36">
      <x:c r="A36" s="176"/>
      <x:c r="B36" s="176"/>
      <x:c r="C36" s="176"/>
      <x:c r="D36" s="176"/>
      <x:c r="E36" s="176"/>
      <x:c r="F36" s="176"/>
      <x:c r="G36" s="176"/>
      <x:c r="H36" s="176"/>
      <x:c r="I36" s="176"/>
      <x:c r="J36" s="176"/>
      <x:c r="K36" s="176"/>
      <x:c r="L36" s="176"/>
      <x:c r="M36" s="176"/>
      <x:c r="N36" s="176"/>
    </x:row>
    <x:row r="37">
      <x:c r="A37" s="176"/>
      <x:c r="B37" s="176"/>
      <x:c r="C37" s="176"/>
      <x:c r="D37" s="176"/>
      <x:c r="E37" s="176"/>
      <x:c r="F37" s="176"/>
      <x:c r="G37" s="176"/>
      <x:c r="H37" s="176"/>
      <x:c r="I37" s="176"/>
      <x:c r="J37" s="176"/>
      <x:c r="K37" s="176"/>
      <x:c r="L37" s="176"/>
      <x:c r="M37" s="176"/>
      <x:c r="N37" s="176"/>
    </x:row>
    <x:row r="38">
      <x:c r="A38" s="176"/>
      <x:c r="B38" s="176"/>
      <x:c r="C38" s="176"/>
      <x:c r="D38" s="176"/>
      <x:c r="E38" s="176"/>
      <x:c r="F38" s="176"/>
      <x:c r="G38" s="176"/>
      <x:c r="H38" s="176"/>
      <x:c r="I38" s="176"/>
      <x:c r="J38" s="176"/>
      <x:c r="K38" s="176"/>
      <x:c r="L38" s="176"/>
      <x:c r="M38" s="176"/>
      <x:c r="N38" s="176"/>
    </x:row>
    <x:row r="39">
      <x:c r="A39" s="176"/>
      <x:c r="B39" s="176"/>
      <x:c r="C39" s="176"/>
      <x:c r="D39" s="176"/>
      <x:c r="E39" s="176"/>
      <x:c r="F39" s="176"/>
      <x:c r="G39" s="176"/>
      <x:c r="H39" s="176"/>
      <x:c r="I39" s="176"/>
      <x:c r="J39" s="176"/>
      <x:c r="K39" s="176"/>
      <x:c r="L39" s="176"/>
      <x:c r="M39" s="176"/>
      <x:c r="N39" s="176"/>
    </x:row>
    <x:row r="40">
      <x:c r="A40" s="176"/>
      <x:c r="B40" s="176"/>
      <x:c r="C40" s="176"/>
      <x:c r="D40" s="176"/>
      <x:c r="E40" s="176"/>
      <x:c r="F40" s="176"/>
      <x:c r="G40" s="176"/>
      <x:c r="H40" s="176"/>
      <x:c r="I40" s="176"/>
      <x:c r="J40" s="176"/>
      <x:c r="K40" s="176"/>
      <x:c r="L40" s="176"/>
      <x:c r="M40" s="176"/>
      <x:c r="N40" s="176"/>
    </x:row>
    <x:row r="41">
      <x:c r="A41" s="176"/>
      <x:c r="B41" s="176"/>
      <x:c r="C41" s="176"/>
      <x:c r="D41" s="176"/>
      <x:c r="E41" s="176"/>
      <x:c r="F41" s="176"/>
      <x:c r="G41" s="176"/>
      <x:c r="H41" s="176"/>
      <x:c r="I41" s="176"/>
      <x:c r="J41" s="176"/>
      <x:c r="K41" s="176"/>
      <x:c r="L41" s="176"/>
      <x:c r="M41" s="176"/>
      <x:c r="N41" s="176"/>
    </x:row>
    <x:row r="42">
      <x:c r="A42" s="176"/>
      <x:c r="B42" s="176"/>
      <x:c r="C42" s="176"/>
      <x:c r="D42" s="176"/>
      <x:c r="E42" s="176"/>
      <x:c r="F42" s="176"/>
      <x:c r="G42" s="176"/>
      <x:c r="H42" s="176"/>
      <x:c r="I42" s="176"/>
      <x:c r="J42" s="176"/>
      <x:c r="K42" s="176"/>
      <x:c r="L42" s="176"/>
      <x:c r="M42" s="176"/>
      <x:c r="N42" s="176"/>
    </x:row>
    <x:row r="43">
      <x:c r="A43" s="176"/>
      <x:c r="B43" s="176"/>
      <x:c r="C43" s="176"/>
      <x:c r="D43" s="176"/>
      <x:c r="E43" s="176"/>
      <x:c r="F43" s="176"/>
      <x:c r="G43" s="176"/>
      <x:c r="H43" s="176"/>
      <x:c r="I43" s="176"/>
      <x:c r="J43" s="176"/>
      <x:c r="K43" s="176"/>
      <x:c r="L43" s="176"/>
      <x:c r="M43" s="176"/>
      <x:c r="N43" s="176"/>
    </x:row>
    <x:row r="44">
      <x:c r="A44" s="176"/>
      <x:c r="B44" s="176"/>
      <x:c r="C44" s="176"/>
      <x:c r="D44" s="176"/>
      <x:c r="E44" s="176"/>
      <x:c r="F44" s="176"/>
      <x:c r="G44" s="176"/>
      <x:c r="H44" s="176"/>
      <x:c r="I44" s="176"/>
      <x:c r="J44" s="176"/>
      <x:c r="K44" s="176"/>
      <x:c r="L44" s="176"/>
      <x:c r="M44" s="176"/>
      <x:c r="N44" s="176"/>
    </x:row>
    <x:row r="45">
      <x:c r="A45" s="176"/>
      <x:c r="B45" s="176"/>
      <x:c r="C45" s="176"/>
      <x:c r="D45" s="176"/>
      <x:c r="E45" s="176"/>
      <x:c r="F45" s="176"/>
      <x:c r="G45" s="176"/>
      <x:c r="H45" s="176"/>
      <x:c r="I45" s="176"/>
      <x:c r="J45" s="176"/>
      <x:c r="K45" s="176"/>
      <x:c r="L45" s="176"/>
      <x:c r="M45" s="176"/>
      <x:c r="N45" s="176"/>
    </x:row>
    <x:row r="46">
      <x:c r="A46" s="176"/>
      <x:c r="B46" s="176"/>
      <x:c r="C46" s="176"/>
      <x:c r="D46" s="176"/>
      <x:c r="E46" s="176"/>
      <x:c r="F46" s="176"/>
      <x:c r="G46" s="176"/>
      <x:c r="H46" s="176"/>
      <x:c r="I46" s="176"/>
      <x:c r="J46" s="176"/>
      <x:c r="K46" s="176"/>
      <x:c r="L46" s="176"/>
      <x:c r="M46" s="176"/>
      <x:c r="N46" s="176"/>
    </x:row>
    <x:row r="47">
      <x:c r="A47" s="176"/>
      <x:c r="B47" s="176"/>
      <x:c r="C47" s="176"/>
      <x:c r="D47" s="176"/>
      <x:c r="E47" s="176"/>
      <x:c r="F47" s="176"/>
      <x:c r="G47" s="176"/>
      <x:c r="H47" s="176"/>
      <x:c r="I47" s="176"/>
      <x:c r="J47" s="176"/>
      <x:c r="K47" s="176"/>
      <x:c r="L47" s="176"/>
      <x:c r="M47" s="176"/>
      <x:c r="N47" s="176"/>
    </x:row>
    <x:row r="48">
      <x:c r="A48" s="176"/>
      <x:c r="B48" s="176"/>
      <x:c r="C48" s="176"/>
      <x:c r="D48" s="176"/>
      <x:c r="E48" s="176"/>
      <x:c r="F48" s="176"/>
      <x:c r="G48" s="176"/>
      <x:c r="H48" s="176"/>
      <x:c r="I48" s="176"/>
      <x:c r="J48" s="176"/>
      <x:c r="K48" s="176"/>
      <x:c r="L48" s="176"/>
      <x:c r="M48" s="176"/>
      <x:c r="N48" s="176"/>
    </x:row>
    <x:row r="49">
      <x:c r="A49" s="176"/>
      <x:c r="B49" s="176"/>
      <x:c r="C49" s="176"/>
      <x:c r="D49" s="176"/>
      <x:c r="E49" s="176"/>
      <x:c r="F49" s="176"/>
      <x:c r="G49" s="176"/>
      <x:c r="H49" s="176"/>
      <x:c r="I49" s="176"/>
      <x:c r="J49" s="176"/>
      <x:c r="K49" s="176"/>
      <x:c r="L49" s="176"/>
      <x:c r="M49" s="176"/>
      <x:c r="N49" s="176"/>
    </x:row>
    <x:row r="50">
      <x:c r="A50" s="176"/>
      <x:c r="B50" s="176"/>
      <x:c r="C50" s="176"/>
      <x:c r="D50" s="176"/>
      <x:c r="E50" s="176"/>
      <x:c r="F50" s="176"/>
      <x:c r="G50" s="176"/>
      <x:c r="H50" s="176"/>
      <x:c r="I50" s="176"/>
      <x:c r="J50" s="176"/>
      <x:c r="K50" s="176"/>
      <x:c r="L50" s="176"/>
      <x:c r="M50" s="176"/>
      <x:c r="N50" s="176"/>
    </x:row>
    <x:row r="51">
      <x:c r="A51" s="176"/>
      <x:c r="B51" s="176"/>
      <x:c r="C51" s="176"/>
      <x:c r="D51" s="176"/>
      <x:c r="E51" s="176"/>
      <x:c r="F51" s="176"/>
      <x:c r="G51" s="176"/>
      <x:c r="H51" s="176"/>
      <x:c r="I51" s="176"/>
      <x:c r="J51" s="176"/>
      <x:c r="K51" s="176"/>
      <x:c r="L51" s="176"/>
      <x:c r="M51" s="176"/>
      <x:c r="N51" s="176"/>
    </x:row>
    <x:row r="52">
      <x:c r="A52" s="5" t="str">
        <x:v>Date</x:v>
      </x:c>
      <x:c r="B52" s="5" t="str">
        <x:v>Coverage h</x:v>
      </x:c>
      <x:c r="C52" s="5" t="str">
        <x:v>Evening lights on</x:v>
      </x:c>
      <x:c r="D52" s="5" t="str">
        <x:v>Measured energy Wh</x:v>
      </x:c>
      <x:c r="E52" s="5" t="str">
        <x:v>MPPT yield Wh</x:v>
      </x:c>
      <x:c r="F52" s="5" t="str">
        <x:v>MPPT consumption Wh</x:v>
      </x:c>
      <x:c r="G52" s="5" t="str">
        <x:v>UCL cloud %</x:v>
      </x:c>
      <x:c r="H52" s="5" t="str">
        <x:v>Siguiri rain mm</x:v>
      </x:c>
      <x:c r="I52" s="4" t="str">
        <x:v>Interpretation notes / limitations</x:v>
      </x:c>
      <x:c r="J52" s="4"/>
      <x:c r="K52" s="4"/>
      <x:c r="L52" s="4"/>
      <x:c r="M52" s="4"/>
      <x:c r="N52" s="4"/>
    </x:row>
    <x:row r="53">
      <x:c r="A53" s="191" t="n">
        <x:v>46240</x:v>
      </x:c>
      <x:c r="B53" s="192" t="n">
        <x:v>9.359722222222222</x:v>
      </x:c>
      <x:c r="C53" s="176" t="str">
        <x:v>20:35:30</x:v>
      </x:c>
      <x:c r="D53" s="192" t="n">
        <x:v>25.146429583</x:v>
      </x:c>
      <x:c r="E53" s="192" t="n">
        <x:v>40</x:v>
      </x:c>
      <x:c r="F53" s="192" t="n">
        <x:v>110</x:v>
      </x:c>
      <x:c r="G53" s="192" t="n">
        <x:v>45.47826086956522</x:v>
      </x:c>
      <x:c r="H53" s="192" t="n">
        <x:v>10.620000000000001</x:v>
      </x:c>
      <x:c r="I53" s="169" t="str">
        <x:v>• No Totem log was recorded on 8 Aug; 6, 7 and 18 Aug are partial days. Full-day averages therefore use only days with &gt;23 h coverage.
• Flood alerts in the log are controlled demonstration events, not real meteorological warnings.
• MPPT “Consumption” and INA219 energy should not be assumed to measure the same electrical boundary. Their difference is therefore not treated as system loss without confirming the final wiring path.
• UCL historical export did not include a quantitative rain_1h field; UCL rain hours are inferred from OpenWeather condition labels.
• MPPT dates are reconstructed from the controller’s “Days ago” field because some day/month dates were auto-converted incorrectly when the CSV history was opened in Excel.
• The Siguiri weather comparison is contextual: it shows the climatic conditions the intended deployment environment was experiencing during the London test period, not a direct field validation in Guinea.</x:v>
      </x:c>
      <x:c r="J53" s="169"/>
      <x:c r="K53" s="169"/>
      <x:c r="L53" s="169"/>
      <x:c r="M53" s="169"/>
      <x:c r="N53" s="169"/>
    </x:row>
    <x:row r="54">
      <x:c r="A54" s="191" t="n">
        <x:v>46241</x:v>
      </x:c>
      <x:c r="B54" s="192" t="n">
        <x:v>4.3566666666666665</x:v>
      </x:c>
      <x:c r="C54" s="176" t="str"/>
      <x:c r="D54" s="192" t="n">
        <x:v>26.213288908000003</x:v>
      </x:c>
      <x:c r="E54" s="192" t="n">
        <x:v>40</x:v>
      </x:c>
      <x:c r="F54" s="192" t="n">
        <x:v>110</x:v>
      </x:c>
      <x:c r="G54" s="192" t="n">
        <x:v>8.166666666666666</x:v>
      </x:c>
      <x:c r="H54" s="192" t="n">
        <x:v>7.18</x:v>
      </x:c>
      <x:c r="I54" s="169"/>
      <x:c r="J54" s="169"/>
      <x:c r="K54" s="169"/>
      <x:c r="L54" s="169"/>
      <x:c r="M54" s="169"/>
      <x:c r="N54" s="169"/>
    </x:row>
    <x:row r="55">
      <x:c r="A55" s="191" t="n">
        <x:v>46242</x:v>
      </x:c>
      <x:c r="B55" s="192"/>
      <x:c r="C55" s="176" t="str"/>
      <x:c r="D55" s="192"/>
      <x:c r="E55" s="192" t="n">
        <x:v>470</x:v>
      </x:c>
      <x:c r="F55" s="192" t="n">
        <x:v>0</x:v>
      </x:c>
      <x:c r="G55" s="192" t="n">
        <x:v>41.083333333333336</x:v>
      </x:c>
      <x:c r="H55" s="192" t="n">
        <x:v>0</x:v>
      </x:c>
      <x:c r="I55" s="169"/>
      <x:c r="J55" s="169"/>
      <x:c r="K55" s="169"/>
      <x:c r="L55" s="169"/>
      <x:c r="M55" s="169"/>
      <x:c r="N55" s="169"/>
    </x:row>
    <x:row r="56">
      <x:c r="A56" s="191" t="n">
        <x:v>46243</x:v>
      </x:c>
      <x:c r="B56" s="192" t="n">
        <x:v>11.224722222222223</x:v>
      </x:c>
      <x:c r="C56" s="176" t="str">
        <x:v>20:50:00</x:v>
      </x:c>
      <x:c r="D56" s="192" t="n">
        <x:v>25.722103847</x:v>
      </x:c>
      <x:c r="E56" s="192" t="n">
        <x:v>270</x:v>
      </x:c>
      <x:c r="F56" s="192" t="n">
        <x:v>80</x:v>
      </x:c>
      <x:c r="G56" s="192" t="n">
        <x:v>26.083333333333332</x:v>
      </x:c>
      <x:c r="H56" s="192" t="n">
        <x:v>3.7200000000000006</x:v>
      </x:c>
      <x:c r="I56" s="169"/>
      <x:c r="J56" s="169"/>
      <x:c r="K56" s="169"/>
      <x:c r="L56" s="169"/>
      <x:c r="M56" s="169"/>
      <x:c r="N56" s="169"/>
    </x:row>
    <x:row r="57">
      <x:c r="A57" s="191" t="n">
        <x:v>46244</x:v>
      </x:c>
      <x:c r="B57" s="192" t="n">
        <x:v>23.99861111111111</x:v>
      </x:c>
      <x:c r="C57" s="176" t="str">
        <x:v>17:50:11</x:v>
      </x:c>
      <x:c r="D57" s="192" t="n">
        <x:v>68.557689108</x:v>
      </x:c>
      <x:c r="E57" s="192" t="n">
        <x:v>330</x:v>
      </x:c>
      <x:c r="F57" s="192" t="n">
        <x:v>200</x:v>
      </x:c>
      <x:c r="G57" s="192" t="n">
        <x:v>61.75</x:v>
      </x:c>
      <x:c r="H57" s="192" t="n">
        <x:v>48.79000000000001</x:v>
      </x:c>
      <x:c r="I57" s="169"/>
      <x:c r="J57" s="169"/>
      <x:c r="K57" s="169"/>
      <x:c r="L57" s="169"/>
      <x:c r="M57" s="169"/>
      <x:c r="N57" s="169"/>
    </x:row>
    <x:row r="58">
      <x:c r="A58" s="191" t="n">
        <x:v>46245</x:v>
      </x:c>
      <x:c r="B58" s="192" t="n">
        <x:v>23.998055555555556</x:v>
      </x:c>
      <x:c r="C58" s="176" t="str">
        <x:v>20:40:26</x:v>
      </x:c>
      <x:c r="D58" s="192" t="n">
        <x:v>69.090712863</x:v>
      </x:c>
      <x:c r="E58" s="192" t="n">
        <x:v>320</x:v>
      </x:c>
      <x:c r="F58" s="192" t="n">
        <x:v>200</x:v>
      </x:c>
      <x:c r="G58" s="192" t="n">
        <x:v>13.625</x:v>
      </x:c>
      <x:c r="H58" s="192" t="n">
        <x:v>0</x:v>
      </x:c>
      <x:c r="I58" s="169"/>
      <x:c r="J58" s="169"/>
      <x:c r="K58" s="169"/>
      <x:c r="L58" s="169"/>
      <x:c r="M58" s="169"/>
      <x:c r="N58" s="169"/>
    </x:row>
    <x:row r="59">
      <x:c r="A59" s="191" t="n">
        <x:v>46246</x:v>
      </x:c>
      <x:c r="B59" s="192" t="n">
        <x:v>23.998333333333335</x:v>
      </x:c>
      <x:c r="C59" s="176" t="str">
        <x:v>20:43:29</x:v>
      </x:c>
      <x:c r="D59" s="192" t="n">
        <x:v>70.061120677</x:v>
      </x:c>
      <x:c r="E59" s="192" t="n">
        <x:v>340</x:v>
      </x:c>
      <x:c r="F59" s="192" t="n">
        <x:v>180</x:v>
      </x:c>
      <x:c r="G59" s="192" t="n">
        <x:v>18.5</x:v>
      </x:c>
      <x:c r="H59" s="192" t="n">
        <x:v>0</x:v>
      </x:c>
      <x:c r="I59" s="169"/>
      <x:c r="J59" s="169"/>
      <x:c r="K59" s="169"/>
      <x:c r="L59" s="169"/>
      <x:c r="M59" s="169"/>
      <x:c r="N59" s="169"/>
    </x:row>
    <x:row r="60">
      <x:c r="A60" s="191" t="n">
        <x:v>46247</x:v>
      </x:c>
      <x:c r="B60" s="192" t="n">
        <x:v>23.99861111111111</x:v>
      </x:c>
      <x:c r="C60" s="176" t="str">
        <x:v>20:38:55</x:v>
      </x:c>
      <x:c r="D60" s="192" t="n">
        <x:v>70.59323917900002</x:v>
      </x:c>
      <x:c r="E60" s="192" t="n">
        <x:v>340</x:v>
      </x:c>
      <x:c r="F60" s="192" t="n">
        <x:v>240</x:v>
      </x:c>
      <x:c r="G60" s="192" t="n">
        <x:v>2.5</x:v>
      </x:c>
      <x:c r="H60" s="192" t="n">
        <x:v>0</x:v>
      </x:c>
      <x:c r="I60" s="169"/>
      <x:c r="J60" s="169"/>
      <x:c r="K60" s="169"/>
      <x:c r="L60" s="169"/>
      <x:c r="M60" s="169"/>
      <x:c r="N60" s="169"/>
    </x:row>
    <x:row r="61">
      <x:c r="A61" s="191" t="n">
        <x:v>46248</x:v>
      </x:c>
      <x:c r="B61" s="192" t="n">
        <x:v>23.999444444444446</x:v>
      </x:c>
      <x:c r="C61" s="176" t="str">
        <x:v>20:34:17</x:v>
      </x:c>
      <x:c r="D61" s="192" t="n">
        <x:v>71.33698634599999</x:v>
      </x:c>
      <x:c r="E61" s="192" t="n">
        <x:v>340</x:v>
      </x:c>
      <x:c r="F61" s="192" t="n">
        <x:v>220</x:v>
      </x:c>
      <x:c r="G61" s="192" t="n">
        <x:v>47.5</x:v>
      </x:c>
      <x:c r="H61" s="192" t="n">
        <x:v>0</x:v>
      </x:c>
      <x:c r="I61" s="169"/>
      <x:c r="J61" s="169"/>
      <x:c r="K61" s="169"/>
      <x:c r="L61" s="169"/>
      <x:c r="M61" s="169"/>
      <x:c r="N61" s="169"/>
    </x:row>
    <x:row r="62">
      <x:c r="A62" s="191" t="n">
        <x:v>46249</x:v>
      </x:c>
      <x:c r="B62" s="192" t="n">
        <x:v>23.99861111111111</x:v>
      </x:c>
      <x:c r="C62" s="176" t="str">
        <x:v>20:24:00</x:v>
      </x:c>
      <x:c r="D62" s="192" t="n">
        <x:v>72.88573710600002</x:v>
      </x:c>
      <x:c r="E62" s="192" t="n">
        <x:v>340</x:v>
      </x:c>
      <x:c r="F62" s="192" t="n">
        <x:v>210</x:v>
      </x:c>
      <x:c r="G62" s="192" t="n">
        <x:v>75</x:v>
      </x:c>
      <x:c r="H62" s="192" t="n">
        <x:v>0</x:v>
      </x:c>
      <x:c r="I62" s="169"/>
      <x:c r="J62" s="169"/>
      <x:c r="K62" s="169"/>
      <x:c r="L62" s="169"/>
      <x:c r="M62" s="169"/>
      <x:c r="N62" s="169"/>
    </x:row>
    <x:row r="63">
      <x:c r="A63" s="191" t="n">
        <x:v>46250</x:v>
      </x:c>
      <x:c r="B63" s="192" t="n">
        <x:v>23.99888888888889</x:v>
      </x:c>
      <x:c r="C63" s="176" t="str">
        <x:v>20:29:27</x:v>
      </x:c>
      <x:c r="D63" s="192" t="n">
        <x:v>70.66956082499999</x:v>
      </x:c>
      <x:c r="E63" s="192" t="n">
        <x:v>230</x:v>
      </x:c>
      <x:c r="F63" s="192" t="n">
        <x:v>210</x:v>
      </x:c>
      <x:c r="G63" s="192" t="n">
        <x:v>82.875</x:v>
      </x:c>
      <x:c r="H63" s="192" t="n">
        <x:v>0</x:v>
      </x:c>
      <x:c r="I63" s="169"/>
      <x:c r="J63" s="169"/>
      <x:c r="K63" s="169"/>
      <x:c r="L63" s="169"/>
      <x:c r="M63" s="169"/>
      <x:c r="N63" s="169"/>
    </x:row>
    <x:row r="64">
      <x:c r="A64" s="191" t="n">
        <x:v>46251</x:v>
      </x:c>
      <x:c r="B64" s="192" t="n">
        <x:v>23.99861111111111</x:v>
      </x:c>
      <x:c r="C64" s="176" t="str">
        <x:v>20:22:02</x:v>
      </x:c>
      <x:c r="D64" s="192" t="n">
        <x:v>73.23235999399999</x:v>
      </x:c>
      <x:c r="E64" s="192" t="n">
        <x:v>330</x:v>
      </x:c>
      <x:c r="F64" s="192" t="n">
        <x:v>210</x:v>
      </x:c>
      <x:c r="G64" s="192" t="n">
        <x:v>86.375</x:v>
      </x:c>
      <x:c r="H64" s="192" t="n">
        <x:v>0</x:v>
      </x:c>
      <x:c r="I64" s="169"/>
      <x:c r="J64" s="169"/>
      <x:c r="K64" s="169"/>
      <x:c r="L64" s="169"/>
      <x:c r="M64" s="169"/>
      <x:c r="N64" s="169"/>
    </x:row>
    <x:row r="65">
      <x:c r="A65" s="191" t="n">
        <x:v>46252</x:v>
      </x:c>
      <x:c r="B65" s="192" t="n">
        <x:v>16.481944444444444</x:v>
      </x:c>
      <x:c r="C65" s="176" t="str">
        <x:v>16:24:49</x:v>
      </x:c>
      <x:c r="D65" s="192" t="n">
        <x:v>45.67856464500004</x:v>
      </x:c>
      <x:c r="E65" s="192" t="n">
        <x:v>140</x:v>
      </x:c>
      <x:c r="F65" s="192" t="n">
        <x:v>210</x:v>
      </x:c>
      <x:c r="G65" s="192" t="n">
        <x:v>100</x:v>
      </x:c>
      <x:c r="H65" s="192" t="n">
        <x:v>0</x:v>
      </x:c>
      <x:c r="I65" s="169"/>
      <x:c r="J65" s="169"/>
      <x:c r="K65" s="169"/>
      <x:c r="L65" s="169"/>
      <x:c r="M65" s="169"/>
      <x:c r="N65" s="169"/>
    </x:row>
  </x:sheetData>
  <x:mergeCells>
    <x:mergeCell ref="A1:N2"/>
    <x:mergeCell ref="A3:N3"/>
    <x:mergeCell ref="A5:C5"/>
    <x:mergeCell ref="A6:C7"/>
    <x:mergeCell ref="D5:F5"/>
    <x:mergeCell ref="D6:F7"/>
    <x:mergeCell ref="G5:I5"/>
    <x:mergeCell ref="G6:I7"/>
    <x:mergeCell ref="J5:L5"/>
    <x:mergeCell ref="J6:L7"/>
    <x:mergeCell ref="M5:N5"/>
    <x:mergeCell ref="M6:N7"/>
    <x:mergeCell ref="A9:C9"/>
    <x:mergeCell ref="A10:C11"/>
    <x:mergeCell ref="D9:F9"/>
    <x:mergeCell ref="D10:F11"/>
    <x:mergeCell ref="G9:I9"/>
    <x:mergeCell ref="G10:I11"/>
    <x:mergeCell ref="J9:L9"/>
    <x:mergeCell ref="J10:L11"/>
    <x:mergeCell ref="M9:N9"/>
    <x:mergeCell ref="M10:N11"/>
    <x:mergeCell ref="A13:N13"/>
    <x:mergeCell ref="A14:N18"/>
    <x:mergeCell ref="I52:N52"/>
    <x:mergeCell ref="I53:N65"/>
  </x:mergeCells>
  <x:pageMargins left="0.7" right="0.7" top="0.75" bottom="0.75" header="0.3" footer="0.3"/>
  <x:drawing xmlns:r="http://schemas.openxmlformats.org/officeDocument/2006/relationships" r:id="R18a86daa3ab34776"/>
</x:worksheet>
</file>

<file path=xl/worksheets/sheet2.xml><?xml version="1.0" encoding="utf-8"?>
<x:worksheet xmlns:x="http://schemas.openxmlformats.org/spreadsheetml/2006/main">
  <x:sheetFormatPr defaultRowHeight="15"/>
  <x:cols>
    <x:col min="1" max="1" width="12" hidden="0" customWidth="1"/>
    <x:col min="2" max="2" width="11" hidden="0" customWidth="1"/>
    <x:col min="3" max="3" width="12" hidden="0" customWidth="1"/>
    <x:col min="4" max="4" width="12" hidden="0" customWidth="1"/>
    <x:col min="5" max="5" width="15" hidden="0" customWidth="1"/>
    <x:col min="6" max="6" width="12" hidden="0" customWidth="1"/>
    <x:col min="7" max="7" width="16" hidden="0" customWidth="1"/>
    <x:col min="8" max="8" width="17" hidden="0" customWidth="1"/>
    <x:col min="9" max="9" width="15" hidden="0" customWidth="1"/>
    <x:col min="10" max="10" width="14" hidden="0" customWidth="1"/>
    <x:col min="11" max="11" width="18" hidden="0" customWidth="1"/>
    <x:col min="12" max="12" width="16" hidden="0" customWidth="1"/>
    <x:col min="13" max="13" width="16" hidden="0" customWidth="1"/>
    <x:col min="14" max="14" width="15" hidden="0" customWidth="1"/>
    <x:col min="15" max="15" width="13" hidden="0" customWidth="1"/>
    <x:col min="16" max="16" width="13" hidden="0" customWidth="1"/>
    <x:col min="17" max="17" width="17" hidden="0" customWidth="1"/>
    <x:col min="18" max="18" width="18" hidden="0" customWidth="1"/>
    <x:col min="19" max="19" width="15" hidden="0" customWidth="1"/>
    <x:col min="20" max="20" width="15" hidden="0" customWidth="1"/>
    <x:col min="21" max="21" width="16" hidden="0" customWidth="1"/>
    <x:col min="22" max="22" width="16" hidden="0" customWidth="1"/>
    <x:col min="23" max="23" width="16" hidden="0" customWidth="1"/>
    <x:col min="24" max="24" width="15" hidden="0" customWidth="1"/>
    <x:col min="25" max="25" width="14" hidden="0" customWidth="1"/>
    <x:col min="26" max="26" width="13" hidden="0" customWidth="1"/>
    <x:col min="27" max="27" width="12" hidden="0" customWidth="1"/>
  </x:cols>
  <x:sheetData>
    <x:row r="1">
      <x:c r="A1" s="6" t="str">
        <x:v>Date</x:v>
      </x:c>
      <x:c r="B1" s="6" t="str">
        <x:v>Samples</x:v>
      </x:c>
      <x:c r="C1" s="6" t="str">
        <x:v>Coverage (h)</x:v>
      </x:c>
      <x:c r="D1" s="6" t="str">
        <x:v>Avg Bus (V)</x:v>
      </x:c>
      <x:c r="E1" s="6" t="str">
        <x:v>Avg Current (mA)</x:v>
      </x:c>
      <x:c r="F1" s="6" t="str">
        <x:v>Avg Power (W)</x:v>
      </x:c>
      <x:c r="G1" s="6" t="str">
        <x:v>Measured Energy (Wh)</x:v>
      </x:c>
      <x:c r="H1" s="6" t="str">
        <x:v>Lighting Hours (est.)</x:v>
      </x:c>
      <x:c r="I1" s="6" t="str">
        <x:v>Flood Test Events</x:v>
      </x:c>
      <x:c r="J1" s="6" t="str">
        <x:v>MPPT Yield (Wh)</x:v>
      </x:c>
      <x:c r="K1" s="6" t="str">
        <x:v>MPPT Consumption (Wh)</x:v>
      </x:c>
      <x:c r="L1" s="6" t="str">
        <x:v>MPPT Min Battery (V)</x:v>
      </x:c>
      <x:c r="M1" s="6" t="str">
        <x:v>MPPT Max Battery (V)</x:v>
      </x:c>
      <x:c r="N1" s="6" t="str">
        <x:v>UCL Avg Temp (°C)</x:v>
      </x:c>
      <x:c r="O1" s="6" t="str">
        <x:v>UCL Cloud (%)</x:v>
      </x:c>
      <x:c r="P1" s="6" t="str">
        <x:v>UCL Rain Hours</x:v>
      </x:c>
      <x:c r="Q1" s="6" t="str">
        <x:v>Siguiri Avg Temp (°C)</x:v>
      </x:c>
      <x:c r="R1" s="6" t="str">
        <x:v>Siguiri Humidity (%)</x:v>
      </x:c>
      <x:c r="S1" s="6" t="str">
        <x:v>Siguiri Cloud (%)</x:v>
      </x:c>
      <x:c r="T1" s="6" t="str">
        <x:v>Siguiri Rain (mm)</x:v>
      </x:c>
      <x:c r="U1" s="6" t="str">
        <x:v>Siguiri Rain Hours</x:v>
      </x:c>
      <x:c r="V1" s="6" t="str">
        <x:v>Morning Lights Off</x:v>
      </x:c>
      <x:c r="W1" s="6" t="str">
        <x:v>Evening Lights On</x:v>
      </x:c>
      <x:c r="X1" s="6" t="str">
        <x:v>INA219 Health (%)</x:v>
      </x:c>
      <x:c r="Y1" s="6" t="str">
        <x:v>RTC Health (%)</x:v>
      </x:c>
      <x:c r="Z1" s="6" t="str">
        <x:v>SD Health (%)</x:v>
      </x:c>
      <x:c r="AA1" s="6" t="str">
        <x:v>Full-day Flag</x:v>
      </x:c>
    </x:row>
    <x:row r="2">
      <x:c r="A2" s="12" t="n">
        <x:v>46240</x:v>
      </x:c>
      <x:c r="B2" t="n">
        <x:v>5145</x:v>
      </x:c>
      <x:c r="C2" s="14" t="n">
        <x:v>9.359722222222222</x:v>
      </x:c>
      <x:c r="D2" s="16" t="n">
        <x:v>12.114747521865889</x:v>
      </x:c>
      <x:c r="E2" s="16" t="n">
        <x:v>274.7262196307094</x:v>
      </x:c>
      <x:c r="F2" s="16" t="n">
        <x:v>3.4655603498542273</x:v>
      </x:c>
      <x:c r="G2" s="16" t="n">
        <x:v>25.146429583</x:v>
      </x:c>
      <x:c r="H2" s="16" t="n">
        <x:v>4.624375877335061</x:v>
      </x:c>
      <x:c r="I2" t="n">
        <x:v>4</x:v>
      </x:c>
      <x:c r="J2" s="18" t="n">
        <x:v>40</x:v>
      </x:c>
      <x:c r="K2" s="18" t="n">
        <x:v>110</x:v>
      </x:c>
      <x:c r="L2" s="16" t="n">
        <x:v>12.76</x:v>
      </x:c>
      <x:c r="M2" s="16" t="n">
        <x:v>13.34</x:v>
      </x:c>
      <x:c r="N2" s="14" t="n">
        <x:v>18.877391304347846</x:v>
      </x:c>
      <x:c r="O2" s="14" t="n">
        <x:v>45.47826086956522</x:v>
      </x:c>
      <x:c r="P2" s="14" t="n">
        <x:v>0</x:v>
      </x:c>
      <x:c r="Q2" s="14" t="n">
        <x:v>27.01125000000002</x:v>
      </x:c>
      <x:c r="R2" s="14" t="n">
        <x:v>82.625</x:v>
      </x:c>
      <x:c r="S2" s="14" t="n">
        <x:v>49.166666666666664</x:v>
      </x:c>
      <x:c r="T2" s="14" t="n">
        <x:v>10.620000000000001</x:v>
      </x:c>
      <x:c r="U2" t="n">
        <x:v>10</x:v>
      </x:c>
      <x:c r="V2" t="str"/>
      <x:c r="W2" t="str">
        <x:v>20:35:30</x:v>
      </x:c>
      <x:c r="X2" s="14" t="n">
        <x:v>100</x:v>
      </x:c>
      <x:c r="Y2" s="14" t="n">
        <x:v>100</x:v>
      </x:c>
      <x:c r="Z2" s="14" t="n">
        <x:v>100</x:v>
      </x:c>
      <x:c r="AA2" t="n">
        <x:f>IF(C2&gt;23,1,0)</x:f>
        <x:v>0</x:v>
      </x:c>
    </x:row>
    <x:row r="3">
      <x:c r="A3" s="12" t="n">
        <x:v>46241</x:v>
      </x:c>
      <x:c r="B3" t="n">
        <x:v>3090</x:v>
      </x:c>
      <x:c r="C3" s="14" t="n">
        <x:v>4.3566666666666665</x:v>
      </x:c>
      <x:c r="D3" s="16" t="n">
        <x:v>12.079326860841425</x:v>
      </x:c>
      <x:c r="E3" s="16" t="n">
        <x:v>496.606569579288</x:v>
      </x:c>
      <x:c r="F3" s="16" t="n">
        <x:v>6.0172142394822</x:v>
      </x:c>
      <x:c r="G3" s="16" t="n">
        <x:v>26.213288908000003</x:v>
      </x:c>
      <x:c r="H3" s="16" t="n">
        <x:v>4.3566666666666665</x:v>
      </x:c>
      <x:c r="I3" t="n">
        <x:v>0</x:v>
      </x:c>
      <x:c r="J3" s="18" t="n">
        <x:v>40</x:v>
      </x:c>
      <x:c r="K3" s="18" t="n">
        <x:v>110</x:v>
      </x:c>
      <x:c r="L3" s="16" t="n">
        <x:v>10.71</x:v>
      </x:c>
      <x:c r="M3" s="16" t="n">
        <x:v>12.76</x:v>
      </x:c>
      <x:c r="N3" s="14" t="n">
        <x:v>20.040000000000024</x:v>
      </x:c>
      <x:c r="O3" s="14" t="n">
        <x:v>8.166666666666666</x:v>
      </x:c>
      <x:c r="P3" s="14" t="n">
        <x:v>0</x:v>
      </x:c>
      <x:c r="Q3" s="14" t="n">
        <x:v>27.424166666666686</x:v>
      </x:c>
      <x:c r="R3" s="14" t="n">
        <x:v>82.25</x:v>
      </x:c>
      <x:c r="S3" s="14" t="n">
        <x:v>83.75</x:v>
      </x:c>
      <x:c r="T3" s="14" t="n">
        <x:v>7.18</x:v>
      </x:c>
      <x:c r="U3" t="n">
        <x:v>6</x:v>
      </x:c>
      <x:c r="V3" t="str"/>
      <x:c r="W3" t="str"/>
      <x:c r="X3" s="14" t="n">
        <x:v>100</x:v>
      </x:c>
      <x:c r="Y3" s="14" t="n">
        <x:v>100</x:v>
      </x:c>
      <x:c r="Z3" s="14" t="n">
        <x:v>100</x:v>
      </x:c>
      <x:c r="AA3" t="n">
        <x:f>IF(C3&gt;23,1,0)</x:f>
        <x:v>0</x:v>
      </x:c>
    </x:row>
    <x:row r="4">
      <x:c r="A4" s="12" t="n">
        <x:v>46242</x:v>
      </x:c>
      <x:c r="B4"/>
      <x:c r="C4" s="14"/>
      <x:c r="D4" s="16"/>
      <x:c r="E4" s="16"/>
      <x:c r="F4" s="16"/>
      <x:c r="G4" s="16"/>
      <x:c r="H4" s="16"/>
      <x:c r="I4"/>
      <x:c r="J4" s="18" t="n">
        <x:v>470</x:v>
      </x:c>
      <x:c r="K4" s="18" t="n">
        <x:v>0</x:v>
      </x:c>
      <x:c r="L4" s="16" t="n">
        <x:v>12.62</x:v>
      </x:c>
      <x:c r="M4" s="16" t="n">
        <x:v>13.51</x:v>
      </x:c>
      <x:c r="N4" s="14" t="n">
        <x:v>21.637916666666694</x:v>
      </x:c>
      <x:c r="O4" s="14" t="n">
        <x:v>41.083333333333336</x:v>
      </x:c>
      <x:c r="P4" s="14" t="n">
        <x:v>0</x:v>
      </x:c>
      <x:c r="Q4" s="14" t="n">
        <x:v>26.473750000000024</x:v>
      </x:c>
      <x:c r="R4" s="14" t="n">
        <x:v>85.91666666666667</x:v>
      </x:c>
      <x:c r="S4" s="14" t="n">
        <x:v>80.79166666666667</x:v>
      </x:c>
      <x:c r="T4" s="14" t="n">
        <x:v>0</x:v>
      </x:c>
      <x:c r="U4" t="n">
        <x:v>0</x:v>
      </x:c>
      <x:c r="V4" t="str"/>
      <x:c r="W4" t="str"/>
      <x:c r="X4" s="14"/>
      <x:c r="Y4" s="14"/>
      <x:c r="Z4" s="14"/>
      <x:c r="AA4" t="n">
        <x:f>IF(C4&gt;23,1,0)</x:f>
        <x:v>0</x:v>
      </x:c>
    </x:row>
    <x:row r="5">
      <x:c r="A5" s="12" t="n">
        <x:v>46243</x:v>
      </x:c>
      <x:c r="B5" t="n">
        <x:v>7960</x:v>
      </x:c>
      <x:c r="C5" s="14" t="n">
        <x:v>11.224722222222223</x:v>
      </x:c>
      <x:c r="D5" s="16" t="n">
        <x:v>13.455235175879396</x:v>
      </x:c>
      <x:c r="E5" s="16" t="n">
        <x:v>177.32388190954774</x:v>
      </x:c>
      <x:c r="F5" s="16" t="n">
        <x:v>2.2912889447236178</x:v>
      </x:c>
      <x:c r="G5" s="16" t="n">
        <x:v>25.722103847</x:v>
      </x:c>
      <x:c r="H5" s="16" t="n">
        <x:v>3.1671766471245113</x:v>
      </x:c>
      <x:c r="I5" t="n">
        <x:v>0</x:v>
      </x:c>
      <x:c r="J5" s="18" t="n">
        <x:v>270</x:v>
      </x:c>
      <x:c r="K5" s="18" t="n">
        <x:v>80</x:v>
      </x:c>
      <x:c r="L5" s="16" t="n">
        <x:v>13.18</x:v>
      </x:c>
      <x:c r="M5" s="16" t="n">
        <x:v>14.23</x:v>
      </x:c>
      <x:c r="N5" s="14" t="n">
        <x:v>24.234166666666688</x:v>
      </x:c>
      <x:c r="O5" s="14" t="n">
        <x:v>26.083333333333332</x:v>
      </x:c>
      <x:c r="P5" s="14" t="n">
        <x:v>0</x:v>
      </x:c>
      <x:c r="Q5" s="14" t="n">
        <x:v>26.629166666666695</x:v>
      </x:c>
      <x:c r="R5" s="14" t="n">
        <x:v>83.875</x:v>
      </x:c>
      <x:c r="S5" s="14" t="n">
        <x:v>88.45833333333333</x:v>
      </x:c>
      <x:c r="T5" s="14" t="n">
        <x:v>3.7200000000000006</x:v>
      </x:c>
      <x:c r="U5" t="n">
        <x:v>5</x:v>
      </x:c>
      <x:c r="V5" t="str"/>
      <x:c r="W5" t="str">
        <x:v>20:50:00</x:v>
      </x:c>
      <x:c r="X5" s="14" t="n">
        <x:v>100</x:v>
      </x:c>
      <x:c r="Y5" s="14" t="n">
        <x:v>100</x:v>
      </x:c>
      <x:c r="Z5" s="14" t="n">
        <x:v>100</x:v>
      </x:c>
      <x:c r="AA5" t="n">
        <x:f>IF(C5&gt;23,1,0)</x:f>
        <x:v>0</x:v>
      </x:c>
    </x:row>
    <x:row r="6">
      <x:c r="A6" s="12" t="n">
        <x:v>46244</x:v>
      </x:c>
      <x:c r="B6" t="n">
        <x:v>17006</x:v>
      </x:c>
      <x:c r="C6" s="14" t="n">
        <x:v>23.99861111111111</x:v>
      </x:c>
      <x:c r="D6" s="16" t="n">
        <x:v>13.294927672586146</x:v>
      </x:c>
      <x:c r="E6" s="16" t="n">
        <x:v>222.26101375984948</x:v>
      </x:c>
      <x:c r="F6" s="16" t="n">
        <x:v>2.857795013524638</x:v>
      </x:c>
      <x:c r="G6" s="16" t="n">
        <x:v>68.557689108</x:v>
      </x:c>
      <x:c r="H6" s="16" t="n">
        <x:v>8.81708351300848</x:v>
      </x:c>
      <x:c r="I6" t="n">
        <x:v>1</x:v>
      </x:c>
      <x:c r="J6" s="18" t="n">
        <x:v>330</x:v>
      </x:c>
      <x:c r="K6" s="18" t="n">
        <x:v>200</x:v>
      </x:c>
      <x:c r="L6" s="16" t="n">
        <x:v>13.02</x:v>
      </x:c>
      <x:c r="M6" s="16" t="n">
        <x:v>14.23</x:v>
      </x:c>
      <x:c r="N6" s="14" t="n">
        <x:v>22.000000000000018</x:v>
      </x:c>
      <x:c r="O6" s="14" t="n">
        <x:v>61.75</x:v>
      </x:c>
      <x:c r="P6" s="14" t="n">
        <x:v>0</x:v>
      </x:c>
      <x:c r="Q6" s="14" t="n">
        <x:v>24.491250000000026</x:v>
      </x:c>
      <x:c r="R6" s="14" t="n">
        <x:v>97.70833333333333</x:v>
      </x:c>
      <x:c r="S6" s="14" t="n">
        <x:v>96.83333333333333</x:v>
      </x:c>
      <x:c r="T6" s="14" t="n">
        <x:v>48.79000000000001</x:v>
      </x:c>
      <x:c r="U6" t="n">
        <x:v>21</x:v>
      </x:c>
      <x:c r="V6" t="str">
        <x:v>05:31:36</x:v>
      </x:c>
      <x:c r="W6" t="str">
        <x:v>17:50:11</x:v>
      </x:c>
      <x:c r="X6" s="14" t="n">
        <x:v>100</x:v>
      </x:c>
      <x:c r="Y6" s="14" t="n">
        <x:v>100</x:v>
      </x:c>
      <x:c r="Z6" s="14" t="n">
        <x:v>100</x:v>
      </x:c>
      <x:c r="AA6" t="n">
        <x:f>IF(C6&gt;23,1,0)</x:f>
        <x:v>1</x:v>
      </x:c>
    </x:row>
    <x:row r="7">
      <x:c r="A7" s="12" t="n">
        <x:v>46245</x:v>
      </x:c>
      <x:c r="B7" t="n">
        <x:v>17001</x:v>
      </x:c>
      <x:c r="C7" s="14" t="n">
        <x:v>23.998055555555556</x:v>
      </x:c>
      <x:c r="D7" s="16" t="n">
        <x:v>13.287623551555791</x:v>
      </x:c>
      <x:c r="E7" s="16" t="n">
        <x:v>224.2446561966943</x:v>
      </x:c>
      <x:c r="F7" s="16" t="n">
        <x:v>2.8791109934709724</x:v>
      </x:c>
      <x:c r="G7" s="16" t="n">
        <x:v>69.090712863</x:v>
      </x:c>
      <x:c r="H7" s="16" t="n">
        <x:v>8.819472449333047</x:v>
      </x:c>
      <x:c r="I7" t="n">
        <x:v>0</x:v>
      </x:c>
      <x:c r="J7" s="18" t="n">
        <x:v>320</x:v>
      </x:c>
      <x:c r="K7" s="18" t="n">
        <x:v>200</x:v>
      </x:c>
      <x:c r="L7" s="16" t="n">
        <x:v>12.99</x:v>
      </x:c>
      <x:c r="M7" s="16" t="n">
        <x:v>14.23</x:v>
      </x:c>
      <x:c r="N7" s="14" t="n">
        <x:v>20.14041666666669</x:v>
      </x:c>
      <x:c r="O7" s="14" t="n">
        <x:v>13.625</x:v>
      </x:c>
      <x:c r="P7" s="14" t="n">
        <x:v>0</x:v>
      </x:c>
      <x:c r="Q7" s="14" t="n">
        <x:v>25.72041666666669</x:v>
      </x:c>
      <x:c r="R7" s="14" t="n">
        <x:v>82.625</x:v>
      </x:c>
      <x:c r="S7" s="14" t="n">
        <x:v>73.91666666666667</x:v>
      </x:c>
      <x:c r="T7" s="14" t="n">
        <x:v>0</x:v>
      </x:c>
      <x:c r="U7" t="n">
        <x:v>3</x:v>
      </x:c>
      <x:c r="V7" t="str">
        <x:v>05:29:41</x:v>
      </x:c>
      <x:c r="W7" t="str">
        <x:v>20:40:26</x:v>
      </x:c>
      <x:c r="X7" s="14" t="n">
        <x:v>100</x:v>
      </x:c>
      <x:c r="Y7" s="14" t="n">
        <x:v>100</x:v>
      </x:c>
      <x:c r="Z7" s="14" t="n">
        <x:v>100</x:v>
      </x:c>
      <x:c r="AA7" t="n">
        <x:f>IF(C7&gt;23,1,0)</x:f>
        <x:v>1</x:v>
      </x:c>
    </x:row>
    <x:row r="8">
      <x:c r="A8" s="12" t="n">
        <x:v>46246</x:v>
      </x:c>
      <x:c r="B8" t="n">
        <x:v>16986</x:v>
      </x:c>
      <x:c r="C8" s="14" t="n">
        <x:v>23.998333333333335</x:v>
      </x:c>
      <x:c r="D8" s="16" t="n">
        <x:v>13.275259625574002</x:v>
      </x:c>
      <x:c r="E8" s="16" t="n">
        <x:v>227.55389732721065</x:v>
      </x:c>
      <x:c r="F8" s="16" t="n">
        <x:v>2.9196653714823975</x:v>
      </x:c>
      <x:c r="G8" s="16" t="n">
        <x:v>70.061120677</x:v>
      </x:c>
      <x:c r="H8" s="16" t="n">
        <x:v>8.89094028415558</x:v>
      </x:c>
      <x:c r="I8" t="n">
        <x:v>4</x:v>
      </x:c>
      <x:c r="J8" s="18" t="n">
        <x:v>340</x:v>
      </x:c>
      <x:c r="K8" s="18" t="n">
        <x:v>180</x:v>
      </x:c>
      <x:c r="L8" s="16" t="n">
        <x:v>12.99</x:v>
      </x:c>
      <x:c r="M8" s="16" t="n">
        <x:v>14.23</x:v>
      </x:c>
      <x:c r="N8" s="14" t="n">
        <x:v>23.58541666666669</x:v>
      </x:c>
      <x:c r="O8" s="14" t="n">
        <x:v>18.5</x:v>
      </x:c>
      <x:c r="P8" s="14" t="n">
        <x:v>0</x:v>
      </x:c>
      <x:c r="Q8" s="14" t="n">
        <x:v>25.350000000000012</x:v>
      </x:c>
      <x:c r="R8" s="14" t="n">
        <x:v>82.75</x:v>
      </x:c>
      <x:c r="S8" s="14" t="n">
        <x:v>67.41666666666667</x:v>
      </x:c>
      <x:c r="T8" s="14" t="n">
        <x:v>0</x:v>
      </x:c>
      <x:c r="U8" t="n">
        <x:v>3</x:v>
      </x:c>
      <x:c r="V8" t="str">
        <x:v>05:37:00</x:v>
      </x:c>
      <x:c r="W8" t="str">
        <x:v>20:43:29</x:v>
      </x:c>
      <x:c r="X8" s="14" t="n">
        <x:v>100</x:v>
      </x:c>
      <x:c r="Y8" s="14" t="n">
        <x:v>100</x:v>
      </x:c>
      <x:c r="Z8" s="14" t="n">
        <x:v>100</x:v>
      </x:c>
      <x:c r="AA8" t="n">
        <x:f>IF(C8&gt;23,1,0)</x:f>
        <x:v>1</x:v>
      </x:c>
    </x:row>
    <x:row r="9">
      <x:c r="A9" s="12" t="n">
        <x:v>46247</x:v>
      </x:c>
      <x:c r="B9" t="n">
        <x:v>16981</x:v>
      </x:c>
      <x:c r="C9" s="14" t="n">
        <x:v>23.99861111111111</x:v>
      </x:c>
      <x:c r="D9" s="16" t="n">
        <x:v>13.278830222012838</x:v>
      </x:c>
      <x:c r="E9" s="16" t="n">
        <x:v>229.10330958129674</x:v>
      </x:c>
      <x:c r="F9" s="16" t="n">
        <x:v>2.941715800011778</x:v>
      </x:c>
      <x:c r="G9" s="16" t="n">
        <x:v>70.59323917900002</x:v>
      </x:c>
      <x:c r="H9" s="16" t="n">
        <x:v>8.9049672346217</x:v>
      </x:c>
      <x:c r="I9" t="n">
        <x:v>0</x:v>
      </x:c>
      <x:c r="J9" s="18" t="n">
        <x:v>340</x:v>
      </x:c>
      <x:c r="K9" s="18" t="n">
        <x:v>240</x:v>
      </x:c>
      <x:c r="L9" s="16" t="n">
        <x:v>13.01</x:v>
      </x:c>
      <x:c r="M9" s="16" t="n">
        <x:v>14.23</x:v>
      </x:c>
      <x:c r="N9" s="14" t="n">
        <x:v>26.528333333333354</x:v>
      </x:c>
      <x:c r="O9" s="14" t="n">
        <x:v>2.5</x:v>
      </x:c>
      <x:c r="P9" s="14" t="n">
        <x:v>0</x:v>
      </x:c>
      <x:c r="Q9" s="14" t="n">
        <x:v>25.381250000000026</x:v>
      </x:c>
      <x:c r="R9" s="14" t="n">
        <x:v>79.58333333333333</x:v>
      </x:c>
      <x:c r="S9" s="14" t="n">
        <x:v>60.208333333333336</x:v>
      </x:c>
      <x:c r="T9" s="14" t="n">
        <x:v>0</x:v>
      </x:c>
      <x:c r="U9" t="n">
        <x:v>3</x:v>
      </x:c>
      <x:c r="V9" t="str">
        <x:v>05:33:15</x:v>
      </x:c>
      <x:c r="W9" t="str">
        <x:v>20:38:55</x:v>
      </x:c>
      <x:c r="X9" s="14" t="n">
        <x:v>100</x:v>
      </x:c>
      <x:c r="Y9" s="14" t="n">
        <x:v>100</x:v>
      </x:c>
      <x:c r="Z9" s="14" t="n">
        <x:v>100</x:v>
      </x:c>
      <x:c r="AA9" t="n">
        <x:f>IF(C9&gt;23,1,0)</x:f>
        <x:v>1</x:v>
      </x:c>
    </x:row>
    <x:row r="10">
      <x:c r="A10" s="12" t="n">
        <x:v>46248</x:v>
      </x:c>
      <x:c r="B10" t="n">
        <x:v>16972</x:v>
      </x:c>
      <x:c r="C10" s="14" t="n">
        <x:v>23.999444444444446</x:v>
      </x:c>
      <x:c r="D10" s="16" t="n">
        <x:v>13.278856705161443</x:v>
      </x:c>
      <x:c r="E10" s="16" t="n">
        <x:v>231.4500883808626</x:v>
      </x:c>
      <x:c r="F10" s="16" t="n">
        <x:v>2.9726894885694084</x:v>
      </x:c>
      <x:c r="G10" s="16" t="n">
        <x:v>71.33698634599999</x:v>
      </x:c>
      <x:c r="H10" s="16" t="n">
        <x:v>9.016053368947547</x:v>
      </x:c>
      <x:c r="I10" t="n">
        <x:v>0</x:v>
      </x:c>
      <x:c r="J10" s="18" t="n">
        <x:v>340</x:v>
      </x:c>
      <x:c r="K10" s="18" t="n">
        <x:v>220</x:v>
      </x:c>
      <x:c r="L10" s="16" t="n">
        <x:v>13.01</x:v>
      </x:c>
      <x:c r="M10" s="16" t="n">
        <x:v>14.23</x:v>
      </x:c>
      <x:c r="N10" s="14" t="n">
        <x:v>27.59333333333336</x:v>
      </x:c>
      <x:c r="O10" s="14" t="n">
        <x:v>47.5</x:v>
      </x:c>
      <x:c r="P10" s="14" t="n">
        <x:v>0</x:v>
      </x:c>
      <x:c r="Q10" s="14" t="n">
        <x:v>26.135000000000026</x:v>
      </x:c>
      <x:c r="R10" s="14" t="n">
        <x:v>81.54166666666667</x:v>
      </x:c>
      <x:c r="S10" s="14" t="n">
        <x:v>41.916666666666664</x:v>
      </x:c>
      <x:c r="T10" s="14" t="n">
        <x:v>0</x:v>
      </x:c>
      <x:c r="U10" t="n">
        <x:v>4</x:v>
      </x:c>
      <x:c r="V10" t="str">
        <x:v>05:35:14</x:v>
      </x:c>
      <x:c r="W10" t="str">
        <x:v>20:34:17</x:v>
      </x:c>
      <x:c r="X10" s="14" t="n">
        <x:v>100</x:v>
      </x:c>
      <x:c r="Y10" s="14" t="n">
        <x:v>100</x:v>
      </x:c>
      <x:c r="Z10" s="14" t="n">
        <x:v>100</x:v>
      </x:c>
      <x:c r="AA10" t="n">
        <x:f>IF(C10&gt;23,1,0)</x:f>
        <x:v>1</x:v>
      </x:c>
    </x:row>
    <x:row r="11">
      <x:c r="A11" s="12" t="n">
        <x:v>46249</x:v>
      </x:c>
      <x:c r="B11" t="n">
        <x:v>16961</x:v>
      </x:c>
      <x:c r="C11" s="14" t="n">
        <x:v>23.99861111111111</x:v>
      </x:c>
      <x:c r="D11" s="16" t="n">
        <x:v>13.186834502682625</x:v>
      </x:c>
      <x:c r="E11" s="16" t="n">
        <x:v>236.86609869701078</x:v>
      </x:c>
      <x:c r="F11" s="16" t="n">
        <x:v>3.0380083721478686</x:v>
      </x:c>
      <x:c r="G11" s="16" t="n">
        <x:v>72.88573710600002</x:v>
      </x:c>
      <x:c r="H11" s="16" t="n">
        <x:v>9.405033197073024</x:v>
      </x:c>
      <x:c r="I11" t="n">
        <x:v>0</x:v>
      </x:c>
      <x:c r="J11" s="18" t="n">
        <x:v>340</x:v>
      </x:c>
      <x:c r="K11" s="18" t="n">
        <x:v>210</x:v>
      </x:c>
      <x:c r="L11" s="16" t="n">
        <x:v>13.02</x:v>
      </x:c>
      <x:c r="M11" s="16" t="n">
        <x:v>13.72</x:v>
      </x:c>
      <x:c r="N11" s="14" t="n">
        <x:v>23.53375000000002</x:v>
      </x:c>
      <x:c r="O11" s="14" t="n">
        <x:v>75</x:v>
      </x:c>
      <x:c r="P11" s="14" t="n">
        <x:v>0</x:v>
      </x:c>
      <x:c r="Q11" s="14" t="n">
        <x:v>23.01833333333336</x:v>
      </x:c>
      <x:c r="R11" s="14" t="n">
        <x:v>93.58333333333333</x:v>
      </x:c>
      <x:c r="S11" s="14" t="n">
        <x:v>98.5</x:v>
      </x:c>
      <x:c r="T11" s="14" t="n">
        <x:v>0</x:v>
      </x:c>
      <x:c r="U11" t="n">
        <x:v>8</x:v>
      </x:c>
      <x:c r="V11" t="str">
        <x:v>05:48:11</x:v>
      </x:c>
      <x:c r="W11" t="str">
        <x:v>20:24:00</x:v>
      </x:c>
      <x:c r="X11" s="14" t="n">
        <x:v>100</x:v>
      </x:c>
      <x:c r="Y11" s="14" t="n">
        <x:v>100</x:v>
      </x:c>
      <x:c r="Z11" s="14" t="n">
        <x:v>100</x:v>
      </x:c>
      <x:c r="AA11" t="n">
        <x:f>IF(C11&gt;23,1,0)</x:f>
        <x:v>1</x:v>
      </x:c>
    </x:row>
    <x:row r="12">
      <x:c r="A12" s="12" t="n">
        <x:v>46250</x:v>
      </x:c>
      <x:c r="B12" t="n">
        <x:v>16956</x:v>
      </x:c>
      <x:c r="C12" s="14" t="n">
        <x:v>23.99888888888889</x:v>
      </x:c>
      <x:c r="D12" s="16" t="n">
        <x:v>13.104079735786742</x:v>
      </x:c>
      <x:c r="E12" s="16" t="n">
        <x:v>230.65683533852322</x:v>
      </x:c>
      <x:c r="F12" s="16" t="n">
        <x:v>2.9449482189195564</x:v>
      </x:c>
      <x:c r="G12" s="16" t="n">
        <x:v>70.66956082499999</x:v>
      </x:c>
      <x:c r="H12" s="16" t="n">
        <x:v>9.164473080653194</x:v>
      </x:c>
      <x:c r="I12" t="n">
        <x:v>0</x:v>
      </x:c>
      <x:c r="J12" s="18" t="n">
        <x:v>230</x:v>
      </x:c>
      <x:c r="K12" s="18" t="n">
        <x:v>210</x:v>
      </x:c>
      <x:c r="L12" s="16" t="n">
        <x:v>13.01</x:v>
      </x:c>
      <x:c r="M12" s="16" t="n">
        <x:v>13.61</x:v>
      </x:c>
      <x:c r="N12" s="14" t="n">
        <x:v>21.95833333333336</x:v>
      </x:c>
      <x:c r="O12" s="14" t="n">
        <x:v>82.875</x:v>
      </x:c>
      <x:c r="P12" s="14" t="n">
        <x:v>9</x:v>
      </x:c>
      <x:c r="Q12" s="14" t="n">
        <x:v>25.713750000000026</x:v>
      </x:c>
      <x:c r="R12" s="14" t="n">
        <x:v>81.75</x:v>
      </x:c>
      <x:c r="S12" s="14" t="n">
        <x:v>57.5</x:v>
      </x:c>
      <x:c r="T12" s="14" t="n">
        <x:v>0</x:v>
      </x:c>
      <x:c r="U12" t="n">
        <x:v>3</x:v>
      </x:c>
      <x:c r="V12" t="str">
        <x:v>05:39:20</x:v>
      </x:c>
      <x:c r="W12" t="str">
        <x:v>20:29:27</x:v>
      </x:c>
      <x:c r="X12" s="14" t="n">
        <x:v>100</x:v>
      </x:c>
      <x:c r="Y12" s="14" t="n">
        <x:v>100</x:v>
      </x:c>
      <x:c r="Z12" s="14" t="n">
        <x:v>100</x:v>
      </x:c>
      <x:c r="AA12" t="n">
        <x:f>IF(C12&gt;23,1,0)</x:f>
        <x:v>1</x:v>
      </x:c>
    </x:row>
    <x:row r="13">
      <x:c r="A13" s="12" t="n">
        <x:v>46251</x:v>
      </x:c>
      <x:c r="B13" t="n">
        <x:v>16939</x:v>
      </x:c>
      <x:c r="C13" s="14" t="n">
        <x:v>23.99861111111111</x:v>
      </x:c>
      <x:c r="D13" s="16" t="n">
        <x:v>13.121899994096465</x:v>
      </x:c>
      <x:c r="E13" s="16" t="n">
        <x:v>238.96973847334553</x:v>
      </x:c>
      <x:c r="F13" s="16" t="n">
        <x:v>3.052194344412303</x:v>
      </x:c>
      <x:c r="G13" s="16" t="n">
        <x:v>73.23235999399999</x:v>
      </x:c>
      <x:c r="H13" s="16" t="n">
        <x:v>9.492336882014548</x:v>
      </x:c>
      <x:c r="I13" t="n">
        <x:v>0</x:v>
      </x:c>
      <x:c r="J13" s="18" t="n">
        <x:v>330</x:v>
      </x:c>
      <x:c r="K13" s="18" t="n">
        <x:v>210</x:v>
      </x:c>
      <x:c r="L13" s="16" t="n">
        <x:v>12.99</x:v>
      </x:c>
      <x:c r="M13" s="16" t="n">
        <x:v>13.59</x:v>
      </x:c>
      <x:c r="N13" s="14" t="n">
        <x:v>23.02125000000002</x:v>
      </x:c>
      <x:c r="O13" s="14" t="n">
        <x:v>86.375</x:v>
      </x:c>
      <x:c r="P13" s="14" t="n">
        <x:v>3</x:v>
      </x:c>
      <x:c r="Q13" s="14" t="n">
        <x:v>25.658333333333353</x:v>
      </x:c>
      <x:c r="R13" s="14" t="n">
        <x:v>83.16666666666667</x:v>
      </x:c>
      <x:c r="S13" s="14" t="n">
        <x:v>86.25</x:v>
      </x:c>
      <x:c r="T13" s="14" t="n">
        <x:v>0</x:v>
      </x:c>
      <x:c r="U13" t="n">
        <x:v>6</x:v>
      </x:c>
      <x:c r="V13" t="str">
        <x:v>05:51:41</x:v>
      </x:c>
      <x:c r="W13" t="str">
        <x:v>20:22:02</x:v>
      </x:c>
      <x:c r="X13" s="14" t="n">
        <x:v>100</x:v>
      </x:c>
      <x:c r="Y13" s="14" t="n">
        <x:v>100</x:v>
      </x:c>
      <x:c r="Z13" s="14" t="n">
        <x:v>100</x:v>
      </x:c>
      <x:c r="AA13" t="n">
        <x:f>IF(C13&gt;23,1,0)</x:f>
        <x:v>1</x:v>
      </x:c>
    </x:row>
    <x:row r="14">
      <x:c r="A14" s="12" t="n">
        <x:v>46252</x:v>
      </x:c>
      <x:c r="B14" t="n">
        <x:v>11635</x:v>
      </x:c>
      <x:c r="C14" s="14" t="n">
        <x:v>16.481944444444444</x:v>
      </x:c>
      <x:c r="D14" s="16" t="n">
        <x:v>13.037688010313708</x:v>
      </x:c>
      <x:c r="E14" s="16" t="n">
        <x:v>217.62256123764504</x:v>
      </x:c>
      <x:c r="F14" s="16" t="n">
        <x:v>2.771755221314998</x:v>
      </x:c>
      <x:c r="G14" s="16" t="n">
        <x:v>45.67856464500004</x:v>
      </x:c>
      <x:c r="H14" s="16" t="n">
        <x:v>5.9694812109057915</x:v>
      </x:c>
      <x:c r="I14" t="n">
        <x:v>2</x:v>
      </x:c>
      <x:c r="J14" s="18" t="n">
        <x:v>140</x:v>
      </x:c>
      <x:c r="K14" s="18" t="n">
        <x:v>210</x:v>
      </x:c>
      <x:c r="L14" s="16" t="n">
        <x:v>12.99</x:v>
      </x:c>
      <x:c r="M14" s="16" t="n">
        <x:v>13.38</x:v>
      </x:c>
      <x:c r="N14" s="14" t="n">
        <x:v>22.280000000000026</x:v>
      </x:c>
      <x:c r="O14" s="14" t="n">
        <x:v>100</x:v>
      </x:c>
      <x:c r="P14" s="14" t="n">
        <x:v>6</x:v>
      </x:c>
      <x:c r="Q14" s="14" t="n">
        <x:v>26.11333333333334</x:v>
      </x:c>
      <x:c r="R14" s="14" t="n">
        <x:v>79.58333333333333</x:v>
      </x:c>
      <x:c r="S14" s="14" t="n">
        <x:v>87.58333333333333</x:v>
      </x:c>
      <x:c r="T14" s="14" t="n">
        <x:v>0</x:v>
      </x:c>
      <x:c r="U14" t="n">
        <x:v>6</x:v>
      </x:c>
      <x:c r="V14" t="str">
        <x:v>05:58:01</x:v>
      </x:c>
      <x:c r="W14" t="str">
        <x:v>16:24:49</x:v>
      </x:c>
      <x:c r="X14" s="14" t="n">
        <x:v>100</x:v>
      </x:c>
      <x:c r="Y14" s="14" t="n">
        <x:v>100</x:v>
      </x:c>
      <x:c r="Z14" s="14" t="n">
        <x:v>100</x:v>
      </x:c>
      <x:c r="AA14" t="n">
        <x:f>IF(C14&gt;23,1,0)</x:f>
        <x:v>0</x:v>
      </x:c>
    </x:row>
  </x:sheetData>
  <x:conditionalFormatting sqref="C2:C2">
    <x:cfRule type="cellIs" dxfId="0" priority="1" operator="lessThan">
      <x:formula>23</x:formula>
    </x:cfRule>
  </x:conditionalFormatting>
  <x:conditionalFormatting sqref="T2:T2">
    <x:cfRule type="dataBar" priority="2">
      <x:dataBar>
        <x:cfvo type="min"/>
        <x:cfvo type="max"/>
        <x:color rgb="FFA02B93"/>
      </x:dataBar>
      <x:extLst>
        <x:ext xmlns:x14="http://schemas.microsoft.com/office/spreadsheetml/2009/9/main" uri="{B025F937-C7B1-47D3-B67F-A62EFF666E3E}">
          <x14:id>{7DE9E0F1-055E-F63E-19CD-7339FD553D33}</x14:id>
        </x:ext>
      </x:extLst>
    </x:cfRule>
  </x:conditionalFormatting>
  <x:conditionalFormatting sqref="C3:C3">
    <x:cfRule type="cellIs" dxfId="1" priority="3" operator="lessThan">
      <x:formula>23</x:formula>
    </x:cfRule>
  </x:conditionalFormatting>
  <x:conditionalFormatting sqref="T3:T3">
    <x:cfRule type="dataBar" priority="4">
      <x:dataBar>
        <x:cfvo type="min"/>
        <x:cfvo type="max"/>
        <x:color rgb="FFA02B93"/>
      </x:dataBar>
      <x:extLst>
        <x:ext xmlns:x14="http://schemas.microsoft.com/office/spreadsheetml/2009/9/main" uri="{B025F937-C7B1-47D3-B67F-A62EFF666E3E}">
          <x14:id>{5C26D2C7-6F11-9F5B-AFD5-9CA239A6D123}</x14:id>
        </x:ext>
      </x:extLst>
    </x:cfRule>
  </x:conditionalFormatting>
  <x:conditionalFormatting sqref="C4:C4">
    <x:cfRule type="cellIs" dxfId="2" priority="5" operator="lessThan">
      <x:formula>23</x:formula>
    </x:cfRule>
  </x:conditionalFormatting>
  <x:conditionalFormatting sqref="T4:T4">
    <x:cfRule type="dataBar" priority="6">
      <x:dataBar>
        <x:cfvo type="min"/>
        <x:cfvo type="max"/>
        <x:color rgb="FFA02B93"/>
      </x:dataBar>
      <x:extLst>
        <x:ext xmlns:x14="http://schemas.microsoft.com/office/spreadsheetml/2009/9/main" uri="{B025F937-C7B1-47D3-B67F-A62EFF666E3E}">
          <x14:id>{E457AD28-1ACC-413A-BF24-6C6E94295E8E}</x14:id>
        </x:ext>
      </x:extLst>
    </x:cfRule>
  </x:conditionalFormatting>
  <x:conditionalFormatting sqref="C5:C5">
    <x:cfRule type="cellIs" dxfId="3" priority="7" operator="lessThan">
      <x:formula>23</x:formula>
    </x:cfRule>
  </x:conditionalFormatting>
  <x:conditionalFormatting sqref="T5:T5">
    <x:cfRule type="dataBar" priority="8">
      <x:dataBar>
        <x:cfvo type="min"/>
        <x:cfvo type="max"/>
        <x:color rgb="FFA02B93"/>
      </x:dataBar>
      <x:extLst>
        <x:ext xmlns:x14="http://schemas.microsoft.com/office/spreadsheetml/2009/9/main" uri="{B025F937-C7B1-47D3-B67F-A62EFF666E3E}">
          <x14:id>{97CF344F-8114-D1D4-0F8C-37A1FD43356A}</x14:id>
        </x:ext>
      </x:extLst>
    </x:cfRule>
  </x:conditionalFormatting>
  <x:conditionalFormatting sqref="C6:C6">
    <x:cfRule type="cellIs" dxfId="4" priority="9" operator="lessThan">
      <x:formula>23</x:formula>
    </x:cfRule>
  </x:conditionalFormatting>
  <x:conditionalFormatting sqref="T6:T6">
    <x:cfRule type="dataBar" priority="10">
      <x:dataBar>
        <x:cfvo type="min"/>
        <x:cfvo type="max"/>
        <x:color rgb="FFA02B93"/>
      </x:dataBar>
      <x:extLst>
        <x:ext xmlns:x14="http://schemas.microsoft.com/office/spreadsheetml/2009/9/main" uri="{B025F937-C7B1-47D3-B67F-A62EFF666E3E}">
          <x14:id>{EA3BFD6D-F0D6-17AD-6810-870BC97F9917}</x14:id>
        </x:ext>
      </x:extLst>
    </x:cfRule>
  </x:conditionalFormatting>
  <x:conditionalFormatting sqref="C7:C7">
    <x:cfRule type="cellIs" dxfId="5" priority="11" operator="lessThan">
      <x:formula>23</x:formula>
    </x:cfRule>
  </x:conditionalFormatting>
  <x:conditionalFormatting sqref="T7:T7">
    <x:cfRule type="dataBar" priority="12">
      <x:dataBar>
        <x:cfvo type="min"/>
        <x:cfvo type="max"/>
        <x:color rgb="FFA02B93"/>
      </x:dataBar>
      <x:extLst>
        <x:ext xmlns:x14="http://schemas.microsoft.com/office/spreadsheetml/2009/9/main" uri="{B025F937-C7B1-47D3-B67F-A62EFF666E3E}">
          <x14:id>{6FFE7AA5-4CA5-CB85-B132-AB1A267BB6CF}</x14:id>
        </x:ext>
      </x:extLst>
    </x:cfRule>
  </x:conditionalFormatting>
  <x:conditionalFormatting sqref="C8:C8">
    <x:cfRule type="cellIs" dxfId="6" priority="13" operator="lessThan">
      <x:formula>23</x:formula>
    </x:cfRule>
  </x:conditionalFormatting>
  <x:conditionalFormatting sqref="T8:T8">
    <x:cfRule type="dataBar" priority="14">
      <x:dataBar>
        <x:cfvo type="min"/>
        <x:cfvo type="max"/>
        <x:color rgb="FFA02B93"/>
      </x:dataBar>
      <x:extLst>
        <x:ext xmlns:x14="http://schemas.microsoft.com/office/spreadsheetml/2009/9/main" uri="{B025F937-C7B1-47D3-B67F-A62EFF666E3E}">
          <x14:id>{6B4E99F4-EA66-9EF1-4953-DB31F15145D1}</x14:id>
        </x:ext>
      </x:extLst>
    </x:cfRule>
  </x:conditionalFormatting>
  <x:conditionalFormatting sqref="C9:C9">
    <x:cfRule type="cellIs" dxfId="7" priority="15" operator="lessThan">
      <x:formula>23</x:formula>
    </x:cfRule>
  </x:conditionalFormatting>
  <x:conditionalFormatting sqref="T9:T9">
    <x:cfRule type="dataBar" priority="16">
      <x:dataBar>
        <x:cfvo type="min"/>
        <x:cfvo type="max"/>
        <x:color rgb="FFA02B93"/>
      </x:dataBar>
      <x:extLst>
        <x:ext xmlns:x14="http://schemas.microsoft.com/office/spreadsheetml/2009/9/main" uri="{B025F937-C7B1-47D3-B67F-A62EFF666E3E}">
          <x14:id>{4DF2AB02-59E4-86AC-34D0-B31EE85603E3}</x14:id>
        </x:ext>
      </x:extLst>
    </x:cfRule>
  </x:conditionalFormatting>
  <x:conditionalFormatting sqref="C10:C10">
    <x:cfRule type="cellIs" dxfId="8" priority="17" operator="lessThan">
      <x:formula>23</x:formula>
    </x:cfRule>
  </x:conditionalFormatting>
  <x:conditionalFormatting sqref="T10:T10">
    <x:cfRule type="dataBar" priority="18">
      <x:dataBar>
        <x:cfvo type="min"/>
        <x:cfvo type="max"/>
        <x:color rgb="FFA02B93"/>
      </x:dataBar>
      <x:extLst>
        <x:ext xmlns:x14="http://schemas.microsoft.com/office/spreadsheetml/2009/9/main" uri="{B025F937-C7B1-47D3-B67F-A62EFF666E3E}">
          <x14:id>{A96316C1-3B41-D506-B82D-301A2C3265CE}</x14:id>
        </x:ext>
      </x:extLst>
    </x:cfRule>
  </x:conditionalFormatting>
  <x:conditionalFormatting sqref="C11:C11">
    <x:cfRule type="cellIs" dxfId="9" priority="19" operator="lessThan">
      <x:formula>23</x:formula>
    </x:cfRule>
  </x:conditionalFormatting>
  <x:conditionalFormatting sqref="T11:T11">
    <x:cfRule type="dataBar" priority="20">
      <x:dataBar>
        <x:cfvo type="min"/>
        <x:cfvo type="max"/>
        <x:color rgb="FFA02B93"/>
      </x:dataBar>
      <x:extLst>
        <x:ext xmlns:x14="http://schemas.microsoft.com/office/spreadsheetml/2009/9/main" uri="{B025F937-C7B1-47D3-B67F-A62EFF666E3E}">
          <x14:id>{037C7598-46B0-81EA-60DC-2D55CF9BF836}</x14:id>
        </x:ext>
      </x:extLst>
    </x:cfRule>
  </x:conditionalFormatting>
  <x:conditionalFormatting sqref="C12:C12">
    <x:cfRule type="cellIs" dxfId="10" priority="21" operator="lessThan">
      <x:formula>23</x:formula>
    </x:cfRule>
  </x:conditionalFormatting>
  <x:conditionalFormatting sqref="T12:T12">
    <x:cfRule type="dataBar" priority="22">
      <x:dataBar>
        <x:cfvo type="min"/>
        <x:cfvo type="max"/>
        <x:color rgb="FFA02B93"/>
      </x:dataBar>
      <x:extLst>
        <x:ext xmlns:x14="http://schemas.microsoft.com/office/spreadsheetml/2009/9/main" uri="{B025F937-C7B1-47D3-B67F-A62EFF666E3E}">
          <x14:id>{A922E953-C05B-3409-B9EB-7F65D7C9C904}</x14:id>
        </x:ext>
      </x:extLst>
    </x:cfRule>
  </x:conditionalFormatting>
  <x:conditionalFormatting sqref="C13:C13">
    <x:cfRule type="cellIs" dxfId="11" priority="23" operator="lessThan">
      <x:formula>23</x:formula>
    </x:cfRule>
  </x:conditionalFormatting>
  <x:conditionalFormatting sqref="T13:T13">
    <x:cfRule type="dataBar" priority="24">
      <x:dataBar>
        <x:cfvo type="min"/>
        <x:cfvo type="max"/>
        <x:color rgb="FFA02B93"/>
      </x:dataBar>
      <x:extLst>
        <x:ext xmlns:x14="http://schemas.microsoft.com/office/spreadsheetml/2009/9/main" uri="{B025F937-C7B1-47D3-B67F-A62EFF666E3E}">
          <x14:id>{1E585600-41A9-1E74-1DC5-14027A1D57C2}</x14:id>
        </x:ext>
      </x:extLst>
    </x:cfRule>
  </x:conditionalFormatting>
  <x:conditionalFormatting sqref="C14:C14">
    <x:cfRule type="cellIs" dxfId="12" priority="25" operator="lessThan">
      <x:formula>23</x:formula>
    </x:cfRule>
  </x:conditionalFormatting>
  <x:conditionalFormatting sqref="T14:T14">
    <x:cfRule type="dataBar" priority="26">
      <x:dataBar>
        <x:cfvo type="min"/>
        <x:cfvo type="max"/>
        <x:color rgb="FFA02B93"/>
      </x:dataBar>
      <x:extLst>
        <x:ext xmlns:x14="http://schemas.microsoft.com/office/spreadsheetml/2009/9/main" uri="{B025F937-C7B1-47D3-B67F-A62EFF666E3E}">
          <x14:id>{DE0CBD2E-6A03-BE89-678E-6729A4289CDA}</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2" id="{7DE9E0F1-055E-F63E-19CD-7339FD553D33}">
            <x14:dataBar gradient="1">
              <x14:cfvo type="min"/>
              <x14:cfvo type="max"/>
              <x14:fillColor rgb="FFA02B93"/>
            </x14:dataBar>
          </x14:cfRule>
          <xm:sqref>T2:T2</xm:sqref>
        </x14:conditionalFormatting>
        <x14:conditionalFormatting>
          <x14:cfRule type="dataBar" priority="4" id="{5C26D2C7-6F11-9F5B-AFD5-9CA239A6D123}">
            <x14:dataBar gradient="1">
              <x14:cfvo type="min"/>
              <x14:cfvo type="max"/>
              <x14:fillColor rgb="FFA02B93"/>
            </x14:dataBar>
          </x14:cfRule>
          <xm:sqref>T3:T3</xm:sqref>
        </x14:conditionalFormatting>
        <x14:conditionalFormatting>
          <x14:cfRule type="dataBar" priority="6" id="{E457AD28-1ACC-413A-BF24-6C6E94295E8E}">
            <x14:dataBar gradient="1">
              <x14:cfvo type="min"/>
              <x14:cfvo type="max"/>
              <x14:fillColor rgb="FFA02B93"/>
            </x14:dataBar>
          </x14:cfRule>
          <xm:sqref>T4:T4</xm:sqref>
        </x14:conditionalFormatting>
        <x14:conditionalFormatting>
          <x14:cfRule type="dataBar" priority="8" id="{97CF344F-8114-D1D4-0F8C-37A1FD43356A}">
            <x14:dataBar gradient="1">
              <x14:cfvo type="min"/>
              <x14:cfvo type="max"/>
              <x14:fillColor rgb="FFA02B93"/>
            </x14:dataBar>
          </x14:cfRule>
          <xm:sqref>T5:T5</xm:sqref>
        </x14:conditionalFormatting>
        <x14:conditionalFormatting>
          <x14:cfRule type="dataBar" priority="10" id="{EA3BFD6D-F0D6-17AD-6810-870BC97F9917}">
            <x14:dataBar gradient="1">
              <x14:cfvo type="min"/>
              <x14:cfvo type="max"/>
              <x14:fillColor rgb="FFA02B93"/>
            </x14:dataBar>
          </x14:cfRule>
          <xm:sqref>T6:T6</xm:sqref>
        </x14:conditionalFormatting>
        <x14:conditionalFormatting>
          <x14:cfRule type="dataBar" priority="12" id="{6FFE7AA5-4CA5-CB85-B132-AB1A267BB6CF}">
            <x14:dataBar gradient="1">
              <x14:cfvo type="min"/>
              <x14:cfvo type="max"/>
              <x14:fillColor rgb="FFA02B93"/>
            </x14:dataBar>
          </x14:cfRule>
          <xm:sqref>T7:T7</xm:sqref>
        </x14:conditionalFormatting>
        <x14:conditionalFormatting>
          <x14:cfRule type="dataBar" priority="14" id="{6B4E99F4-EA66-9EF1-4953-DB31F15145D1}">
            <x14:dataBar gradient="1">
              <x14:cfvo type="min"/>
              <x14:cfvo type="max"/>
              <x14:fillColor rgb="FFA02B93"/>
            </x14:dataBar>
          </x14:cfRule>
          <xm:sqref>T8:T8</xm:sqref>
        </x14:conditionalFormatting>
        <x14:conditionalFormatting>
          <x14:cfRule type="dataBar" priority="16" id="{4DF2AB02-59E4-86AC-34D0-B31EE85603E3}">
            <x14:dataBar gradient="1">
              <x14:cfvo type="min"/>
              <x14:cfvo type="max"/>
              <x14:fillColor rgb="FFA02B93"/>
            </x14:dataBar>
          </x14:cfRule>
          <xm:sqref>T9:T9</xm:sqref>
        </x14:conditionalFormatting>
        <x14:conditionalFormatting>
          <x14:cfRule type="dataBar" priority="18" id="{A96316C1-3B41-D506-B82D-301A2C3265CE}">
            <x14:dataBar gradient="1">
              <x14:cfvo type="min"/>
              <x14:cfvo type="max"/>
              <x14:fillColor rgb="FFA02B93"/>
            </x14:dataBar>
          </x14:cfRule>
          <xm:sqref>T10:T10</xm:sqref>
        </x14:conditionalFormatting>
        <x14:conditionalFormatting>
          <x14:cfRule type="dataBar" priority="20" id="{037C7598-46B0-81EA-60DC-2D55CF9BF836}">
            <x14:dataBar gradient="1">
              <x14:cfvo type="min"/>
              <x14:cfvo type="max"/>
              <x14:fillColor rgb="FFA02B93"/>
            </x14:dataBar>
          </x14:cfRule>
          <xm:sqref>T11:T11</xm:sqref>
        </x14:conditionalFormatting>
        <x14:conditionalFormatting>
          <x14:cfRule type="dataBar" priority="22" id="{A922E953-C05B-3409-B9EB-7F65D7C9C904}">
            <x14:dataBar gradient="1">
              <x14:cfvo type="min"/>
              <x14:cfvo type="max"/>
              <x14:fillColor rgb="FFA02B93"/>
            </x14:dataBar>
          </x14:cfRule>
          <xm:sqref>T12:T12</xm:sqref>
        </x14:conditionalFormatting>
        <x14:conditionalFormatting>
          <x14:cfRule type="dataBar" priority="24" id="{1E585600-41A9-1E74-1DC5-14027A1D57C2}">
            <x14:dataBar gradient="1">
              <x14:cfvo type="min"/>
              <x14:cfvo type="max"/>
              <x14:fillColor rgb="FFA02B93"/>
            </x14:dataBar>
          </x14:cfRule>
          <xm:sqref>T13:T13</xm:sqref>
        </x14:conditionalFormatting>
        <x14:conditionalFormatting>
          <x14:cfRule type="dataBar" priority="26" id="{DE0CBD2E-6A03-BE89-678E-6729A4289CDA}">
            <x14:dataBar gradient="1">
              <x14:cfvo type="min"/>
              <x14:cfvo type="max"/>
              <x14:fillColor rgb="FFA02B93"/>
            </x14:dataBar>
          </x14:cfRule>
          <xm:sqref>T14:T14</xm:sqref>
        </x14:conditionalFormatting>
      </x14:conditionalFormattings>
    </x:ext>
  </x:extLst>
</x:worksheet>
</file>

<file path=xl/worksheets/sheet3.xml><?xml version="1.0" encoding="utf-8"?>
<x:worksheet xmlns:x="http://schemas.openxmlformats.org/spreadsheetml/2006/main">
  <x:sheetFormatPr defaultRowHeight="15"/>
  <x:cols>
    <x:col min="1" max="1" width="30" hidden="0" customWidth="1"/>
    <x:col min="2" max="2" width="18" hidden="0" customWidth="1"/>
    <x:col min="3" max="3" width="40" hidden="0" customWidth="1"/>
    <x:col min="4" max="4" width="55" hidden="0" customWidth="1"/>
  </x:cols>
  <x:sheetData>
    <x:row r="1">
      <x:c r="A1" s="4" t="str">
        <x:v>Source / Dataset</x:v>
      </x:c>
      <x:c r="B1" s="4" t="str">
        <x:v>Coverage</x:v>
      </x:c>
      <x:c r="C1" s="4" t="str">
        <x:v>Use in analysis</x:v>
      </x:c>
      <x:c r="D1" s="4" t="str">
        <x:v>Location / provenance</x:v>
      </x:c>
    </x:row>
    <x:row r="2">
      <x:c r="A2" s="176" t="str">
        <x:v>Totem current-sensor log</x:v>
      </x:c>
      <x:c r="B2" s="176" t="str">
        <x:v>6–18 Aug 2026</x:v>
      </x:c>
      <x:c r="C2" s="176" t="str">
        <x:v>Five-second system state, electrical, light and health data</x:v>
      </x:c>
      <x:c r="D2" s="176" t="str">
        <x:v>Uploaded file: Totem_log.csv_Current Sensor Data 18-08-2026.xlsx</x:v>
      </x:c>
    </x:row>
    <x:row r="3">
      <x:c r="A3" s="176" t="str">
        <x:v>MPPT solar history</x:v>
      </x:c>
      <x:c r="B3" s="176" t="str">
        <x:v>6–20 Aug 2026</x:v>
      </x:c>
      <x:c r="C3" s="176" t="str">
        <x:v>Daily PV yield, controller consumption, PV maxima and battery range</x:v>
      </x:c>
      <x:c r="D3" s="176" t="str">
        <x:v>Uploaded file: Totem_MPTTSolarHistory.xlsx</x:v>
      </x:c>
    </x:row>
    <x:row r="4">
      <x:c r="A4" s="176" t="str">
        <x:v>OpenWeather historical data – UCL East</x:v>
      </x:c>
      <x:c r="B4" s="176" t="str">
        <x:v>6–18 Aug 2026</x:v>
      </x:c>
      <x:c r="C4" s="176" t="str">
        <x:v>Hourly weather context for London deployment</x:v>
      </x:c>
      <x:c r="D4" s="176" t="str">
        <x:v>UCL East – One Pool Street; 51.538265, -0.009753; https://openweathermap.org/</x:v>
      </x:c>
    </x:row>
    <x:row r="5">
      <x:c r="A5" s="176" t="str">
        <x:v>OpenWeather historical data – Siguiri</x:v>
      </x:c>
      <x:c r="B5" s="176" t="str">
        <x:v>6–18 Aug 2026</x:v>
      </x:c>
      <x:c r="C5" s="176" t="str">
        <x:v>Rainy-season contextual comparison for intended Guinea setting</x:v>
      </x:c>
      <x:c r="D5" s="176" t="str">
        <x:v>Siguiri; 11.414811, -9.17883; https://openweathermap.org/</x:v>
      </x:c>
    </x:row>
    <x:row r="6">
      <x:c r="A6" s="176" t="str">
        <x:v>Final Totem code</x:v>
      </x:c>
      <x:c r="B6" s="176" t="str">
        <x:v>Dissertation version</x:v>
      </x:c>
      <x:c r="C6" s="176" t="str">
        <x:v>Defines five-second logging schema and health/status fields</x:v>
      </x:c>
      <x:c r="D6" s="176" t="str">
        <x:v>FinalTotemCode_Dissertation.ino</x:v>
      </x:c>
    </x:row>
    <x:row r="7">
      <x:c r="A7" s="176"/>
      <x:c r="B7" s="176"/>
      <x:c r="C7" s="176"/>
      <x:c r="D7" s="176"/>
    </x:row>
    <x:row r="8">
      <x:c r="A8" s="4" t="str">
        <x:v>Important analytical decision</x:v>
      </x:c>
      <x:c r="B8" s="4" t="str">
        <x:v>Reason</x:v>
      </x:c>
      <x:c r="C8" s="4" t="str"/>
      <x:c r="D8" s="4" t="str"/>
    </x:row>
    <x:row r="9">
      <x:c r="A9" s="213" t="str">
        <x:v>• No Totem log was recorded on 8 Aug; 6, 7 and 18 Aug are partial days. Full-day averages therefore use only days with &gt;23 h coverage.
• Flood alerts in the log are controlled demonstration events, not real meteorological warnings.
• MPPT “Consumption” and INA219 energy should not be assumed to measure the same electrical boundary. Their difference is therefore not treated as system loss without confirming the final wiring path.
• UCL historical export did not include a quantitative rain_1h field; UCL rain hours are inferred from OpenWeather condition labels.
• MPPT dates are reconstructed from the controller’s “Days ago” field because some day/month dates were auto-converted incorrectly when the CSV history was opened in Excel.
• The Siguiri weather comparison is contextual: it shows the climatic conditions the intended deployment environment was experiencing during the London test period, not a direct field validation in Guinea.</x:v>
      </x:c>
      <x:c r="B9" s="213"/>
      <x:c r="C9" s="213"/>
      <x:c r="D9" s="213"/>
    </x:row>
    <x:row r="10">
      <x:c r="A10" s="213"/>
      <x:c r="B10" s="213"/>
      <x:c r="C10" s="213"/>
      <x:c r="D10" s="213"/>
    </x:row>
    <x:row r="11">
      <x:c r="A11" s="213"/>
      <x:c r="B11" s="213"/>
      <x:c r="C11" s="213"/>
      <x:c r="D11" s="213"/>
    </x:row>
    <x:row r="12">
      <x:c r="A12" s="213"/>
      <x:c r="B12" s="213"/>
      <x:c r="C12" s="213"/>
      <x:c r="D12" s="213"/>
    </x:row>
    <x:row r="13">
      <x:c r="A13" s="213"/>
      <x:c r="B13" s="213"/>
      <x:c r="C13" s="213"/>
      <x:c r="D13" s="213"/>
    </x:row>
    <x:row r="14">
      <x:c r="A14" s="213"/>
      <x:c r="B14" s="213"/>
      <x:c r="C14" s="213"/>
      <x:c r="D14" s="213"/>
    </x:row>
  </x:sheetData>
  <x:mergeCells>
    <x:mergeCell ref="A9:D14"/>
  </x:mergeCells>
  <x:pageMargins left="0.7" right="0.7" top="0.75" bottom="0.75" header="0.3" footer="0.3"/>
</x:worksheet>
</file>